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D05F43AD-481A-4F3F-B585-BC0EEC6EAF4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burdonchart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C150" i="3" l="1"/>
  <c r="D150" i="3" s="1"/>
  <c r="E150" i="3" s="1"/>
  <c r="F150" i="3" s="1"/>
  <c r="G150" i="3" s="1"/>
  <c r="H150" i="3" s="1"/>
  <c r="C149" i="3"/>
  <c r="D149" i="3" s="1"/>
  <c r="E149" i="3" s="1"/>
  <c r="F149" i="3" s="1"/>
  <c r="G149" i="3" s="1"/>
  <c r="H149" i="3" s="1"/>
  <c r="I144" i="3"/>
  <c r="I143" i="3"/>
  <c r="I142" i="3"/>
  <c r="C126" i="3"/>
  <c r="D126" i="3" s="1"/>
  <c r="E126" i="3" s="1"/>
  <c r="F126" i="3" s="1"/>
  <c r="G126" i="3" s="1"/>
  <c r="H126" i="3" s="1"/>
  <c r="C125" i="3"/>
  <c r="D125" i="3" s="1"/>
  <c r="E125" i="3" s="1"/>
  <c r="F125" i="3" s="1"/>
  <c r="G125" i="3" s="1"/>
  <c r="H125" i="3" s="1"/>
  <c r="I120" i="3"/>
  <c r="I119" i="3"/>
  <c r="I118" i="3"/>
  <c r="C69" i="3"/>
  <c r="D69" i="3" s="1"/>
  <c r="C102" i="3"/>
  <c r="D102" i="3" s="1"/>
  <c r="E102" i="3" s="1"/>
  <c r="F102" i="3" s="1"/>
  <c r="G102" i="3" s="1"/>
  <c r="H102" i="3" s="1"/>
  <c r="C101" i="3"/>
  <c r="D101" i="3" s="1"/>
  <c r="E101" i="3" s="1"/>
  <c r="F101" i="3" s="1"/>
  <c r="G101" i="3" s="1"/>
  <c r="H101" i="3" s="1"/>
  <c r="C70" i="3"/>
  <c r="D70" i="3" s="1"/>
  <c r="E70" i="3" s="1"/>
  <c r="F70" i="3" s="1"/>
  <c r="G70" i="3" s="1"/>
  <c r="H70" i="3" s="1"/>
  <c r="C39" i="3"/>
  <c r="D39" i="3" s="1"/>
  <c r="E39" i="3" s="1"/>
  <c r="F39" i="3" s="1"/>
  <c r="G39" i="3" s="1"/>
  <c r="H39" i="3" s="1"/>
  <c r="C38" i="3"/>
  <c r="D38" i="3" s="1"/>
  <c r="E38" i="3" s="1"/>
  <c r="F38" i="3" s="1"/>
  <c r="G38" i="3" s="1"/>
  <c r="H38" i="3" s="1"/>
  <c r="I36" i="3"/>
  <c r="I34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4" i="3"/>
  <c r="I95" i="3"/>
  <c r="I96" i="3"/>
  <c r="I64" i="3"/>
  <c r="I62" i="3"/>
  <c r="I63" i="3"/>
  <c r="E69" i="3" l="1"/>
  <c r="F69" i="3" s="1"/>
  <c r="G69" i="3" s="1"/>
  <c r="H69" i="3" s="1"/>
</calcChain>
</file>

<file path=xl/sharedStrings.xml><?xml version="1.0" encoding="utf-8"?>
<sst xmlns="http://schemas.openxmlformats.org/spreadsheetml/2006/main" count="560" uniqueCount="101">
  <si>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</si>
  <si>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</si>
  <si>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</si>
  <si>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</si>
  <si>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</si>
  <si>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</si>
  <si>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</si>
  <si>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</si>
  <si>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</si>
  <si>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</si>
  <si>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</si>
  <si>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</si>
  <si>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</si>
  <si>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</si>
  <si>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</si>
  <si>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</si>
  <si>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</si>
  <si>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</si>
  <si>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</si>
  <si>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</si>
  <si>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</si>
  <si>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</si>
  <si>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</si>
  <si>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</si>
  <si>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</si>
  <si>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</si>
  <si>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</si>
  <si>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</si>
  <si>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</si>
  <si>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</si>
  <si>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</si>
  <si>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</si>
  <si>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</si>
  <si>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</si>
  <si>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</si>
  <si>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</si>
  <si>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</si>
  <si>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</si>
  <si>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</si>
  <si>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</si>
  <si>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</si>
  <si>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</si>
  <si>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</si>
  <si>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</si>
  <si>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</si>
  <si>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</si>
  <si>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</si>
  <si>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</si>
  <si>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</si>
  <si>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</si>
  <si>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</si>
  <si>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</si>
  <si>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</si>
  <si>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</si>
  <si>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</si>
  <si>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</si>
  <si>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</si>
  <si>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</si>
  <si>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 xml:space="preserve">En proceso </t>
  </si>
  <si>
    <t>M. Lugmaña</t>
  </si>
  <si>
    <t>E. Tasiguano</t>
  </si>
  <si>
    <t>C, Marcalla</t>
  </si>
  <si>
    <t>REQ002-4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</si>
  <si>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</si>
  <si>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</si>
  <si>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</si>
  <si>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</si>
  <si>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</si>
  <si>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</si>
  <si>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</si>
  <si>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</si>
  <si>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</si>
  <si>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</si>
  <si>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</si>
  <si>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</si>
  <si>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</si>
  <si>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</si>
  <si>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</si>
  <si>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</si>
  <si>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</si>
  <si>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</si>
  <si>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</si>
  <si>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</si>
  <si>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</si>
  <si>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</si>
  <si>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</si>
  <si>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</si>
  <si>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</si>
  <si>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</si>
  <si>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</si>
  <si>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</si>
  <si>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</si>
  <si>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</si>
  <si>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</si>
  <si>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</si>
  <si>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</si>
  <si>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</si>
  <si>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Implementar validaciones para evitar duplicados o información incompleta durante la modificación.</t>
  </si>
  <si>
    <t>Permitir buscar al cliente a modificar mediante cedula.</t>
  </si>
  <si>
    <t>Habilitar la edición de datos personales como nombres, dirección, email y telefono.</t>
  </si>
  <si>
    <t>Habilitar la búsqueda de clientes por medio de cédula.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</si>
</sst>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 Narrow"/>
      <family val="2"/>
    </font>
    <font>
      <sz val="10"/>
      <color rgb="FF0070C0"/>
      <name val="Arial"/>
      <family val="2"/>
      <scheme val="minor"/>
    </font>
    <font>
      <b/>
      <sz val="10"/>
      <color rgb="FF0070C0"/>
      <name val="Arial"/>
      <family val="2"/>
    </font>
    <font>
      <sz val="11"/>
      <color rgb="FF0070C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5" borderId="0" xfId="0" applyFont="1" applyFill="1"/>
    <xf numFmtId="0" fontId="11" fillId="5" borderId="0" xfId="0" applyFont="1" applyFill="1"/>
    <xf numFmtId="0" fontId="10" fillId="0" borderId="2" xfId="0" applyFont="1" applyBorder="1"/>
    <xf numFmtId="0" fontId="13" fillId="6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10" fillId="5" borderId="2" xfId="0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1" fillId="5" borderId="2" xfId="0" applyFont="1" applyFill="1" applyBorder="1"/>
    <xf numFmtId="0" fontId="14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top"/>
    </xf>
    <xf numFmtId="0" fontId="10" fillId="0" borderId="1" xfId="0" applyFont="1" applyBorder="1" applyAlignment="1">
      <alignment horizontal="right"/>
    </xf>
    <xf numFmtId="0" fontId="14" fillId="0" borderId="0" xfId="0" applyFont="1"/>
    <xf numFmtId="0" fontId="16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burdonchart!$B$69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burdonchart!$C$69:$H$69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burdonchart!$C$70:$H$70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10.399999999999999</c:v>
                </c:pt>
                <c:pt idx="4">
                  <c:v>9.7999999999999989</c:v>
                </c:pt>
                <c:pt idx="5">
                  <c:v>9.3999999999999986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EAF-97AD-08A50D2DC69A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F-4EAF-97AD-08A50D2D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C-4A8C-9E75-FDC6B21722D7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C-4A8C-9E75-FDC6B2172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31</xdr:row>
      <xdr:rowOff>119742</xdr:rowOff>
    </xdr:from>
    <xdr:to>
      <xdr:col>15</xdr:col>
      <xdr:colOff>167368</xdr:colOff>
      <xdr:row>45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58</xdr:row>
      <xdr:rowOff>40820</xdr:rowOff>
    </xdr:from>
    <xdr:to>
      <xdr:col>15</xdr:col>
      <xdr:colOff>162197</xdr:colOff>
      <xdr:row>71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93</xdr:row>
      <xdr:rowOff>136071</xdr:rowOff>
    </xdr:from>
    <xdr:to>
      <xdr:col>15</xdr:col>
      <xdr:colOff>214993</xdr:colOff>
      <xdr:row>107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117</xdr:row>
      <xdr:rowOff>136071</xdr:rowOff>
    </xdr:from>
    <xdr:to>
      <xdr:col>15</xdr:col>
      <xdr:colOff>214993</xdr:colOff>
      <xdr:row>131</xdr:row>
      <xdr:rowOff>72934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D4C20-DFBA-494B-84C4-2F94E8BA3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611233</xdr:colOff>
      <xdr:row>141</xdr:row>
      <xdr:rowOff>136071</xdr:rowOff>
    </xdr:from>
    <xdr:to>
      <xdr:col>15</xdr:col>
      <xdr:colOff>214993</xdr:colOff>
      <xdr:row>155</xdr:row>
      <xdr:rowOff>72934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75438D-DAE0-44FE-8FDA-B59D83319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2:I64" headerRowCount="0" totalsRowShown="0">
  <tableColumns count="1">
    <tableColumn id="1" xr3:uid="{39D12BE6-76AE-45D3-B9AB-374B2C3BB84D}" name="Column1">
      <calculatedColumnFormula>SUM(D62:H62)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4:I96" headerRowCount="0" totalsRowShown="0">
  <tableColumns count="1">
    <tableColumn id="1" xr3:uid="{F0C3D221-1910-4683-9473-FCE1F64FE72B}" name="Column1">
      <calculatedColumnFormula>SUM(D94:H94)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83C1-6A94-437A-B0FB-F4F6FB100CEE}" name="Table_138112" displayName="Table_138112" ref="I118:I120" headerRowCount="0" totalsRowShown="0">
  <tableColumns count="1">
    <tableColumn id="1" xr3:uid="{682FD11E-DED9-4B13-87C5-3CCBAB73707E}" name="Column1">
      <calculatedColumnFormula>SUM(D118:H118)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9AE4B-7DF0-4BB9-A42B-C496570CFDCE}" name="Table_138113" displayName="Table_138113" ref="I142:I144" headerRowCount="0" totalsRowShown="0">
  <tableColumns count="1">
    <tableColumn id="1" xr3:uid="{3DEC14DB-35B2-4F0A-9B29-C8F72A49456C}" name="Column1">
      <calculatedColumnFormula>SUM(D142:H142)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workbookViewId="0">
      <selection activeCell="A8" sqref="A8:H8"/>
    </sheetView>
  </sheetViews>
  <sheetFormatPr baseColWidth="10" defaultColWidth="12.5546875" defaultRowHeight="15" customHeight="1" x14ac:dyDescent="0.25"/>
  <cols>
    <col min="1" max="1" width="12.44140625" style="11" customWidth="1"/>
    <col min="2" max="2" width="36.5546875" style="11" customWidth="1"/>
    <col min="3" max="3" width="36" style="11" customWidth="1"/>
    <col min="4" max="4" width="64.44140625" style="11" customWidth="1"/>
    <col min="5" max="5" width="67.109375" style="11" customWidth="1"/>
    <col min="6" max="26" width="12.44140625" style="11" customWidth="1"/>
    <col min="27" max="16384" width="12.5546875" style="11"/>
  </cols>
  <sheetData>
    <row r="1" spans="1:8" ht="15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5.75" customHeight="1" x14ac:dyDescent="0.25">
      <c r="A2" s="12"/>
      <c r="B2" s="12"/>
      <c r="C2" s="12"/>
      <c r="D2" s="9"/>
      <c r="E2" s="9"/>
      <c r="G2" s="12"/>
      <c r="H2" s="12"/>
    </row>
    <row r="3" spans="1:8" customFormat="1" ht="15.75" customHeight="1" x14ac:dyDescent="0.25">
      <c r="A3" s="18" t="s">
        <v>8</v>
      </c>
      <c r="B3" s="19" t="s">
        <v>63</v>
      </c>
      <c r="C3" s="18" t="s">
        <v>30</v>
      </c>
      <c r="D3" s="18" t="s">
        <v>52</v>
      </c>
      <c r="E3" s="18" t="s">
        <v>53</v>
      </c>
      <c r="F3" s="20"/>
      <c r="G3" s="18" t="s">
        <v>9</v>
      </c>
      <c r="H3" s="18" t="s">
        <v>54</v>
      </c>
    </row>
    <row r="4" spans="1:8" customFormat="1" ht="15.75" customHeight="1" x14ac:dyDescent="0.25">
      <c r="A4" s="18" t="s">
        <v>31</v>
      </c>
      <c r="B4" s="19" t="s">
        <v>64</v>
      </c>
      <c r="C4" s="18" t="s">
        <v>30</v>
      </c>
      <c r="D4" s="18" t="s">
        <v>55</v>
      </c>
      <c r="E4" s="18" t="s">
        <v>56</v>
      </c>
      <c r="F4" s="18"/>
      <c r="G4" s="18" t="s">
        <v>9</v>
      </c>
      <c r="H4" s="18" t="s">
        <v>54</v>
      </c>
    </row>
    <row r="5" spans="1:8" customFormat="1" ht="15.75" customHeight="1" x14ac:dyDescent="0.25">
      <c r="A5" s="18" t="s">
        <v>32</v>
      </c>
      <c r="B5" s="19" t="s">
        <v>65</v>
      </c>
      <c r="C5" s="18" t="s">
        <v>30</v>
      </c>
      <c r="D5" s="18" t="s">
        <v>71</v>
      </c>
      <c r="E5" s="18" t="s">
        <v>75</v>
      </c>
      <c r="F5" s="20"/>
      <c r="G5" s="18" t="s">
        <v>9</v>
      </c>
      <c r="H5" s="18" t="s">
        <v>54</v>
      </c>
    </row>
    <row r="6" spans="1:8" customFormat="1" ht="15.75" customHeight="1" x14ac:dyDescent="0.25">
      <c r="A6" s="18" t="s">
        <v>33</v>
      </c>
      <c r="B6" s="19" t="s">
        <v>66</v>
      </c>
      <c r="C6" s="18" t="s">
        <v>30</v>
      </c>
      <c r="D6" s="18" t="s">
        <v>72</v>
      </c>
      <c r="E6" s="18" t="s">
        <v>76</v>
      </c>
      <c r="F6" s="20"/>
      <c r="G6" s="18" t="s">
        <v>9</v>
      </c>
      <c r="H6" s="18" t="s">
        <v>54</v>
      </c>
    </row>
    <row r="7" spans="1:8" s="15" customFormat="1" ht="14.1" customHeight="1" x14ac:dyDescent="0.25">
      <c r="A7" s="18" t="s">
        <v>69</v>
      </c>
      <c r="B7" s="21" t="s">
        <v>67</v>
      </c>
      <c r="C7" s="18" t="s">
        <v>30</v>
      </c>
      <c r="D7" s="18" t="s">
        <v>73</v>
      </c>
      <c r="E7" s="18" t="s">
        <v>77</v>
      </c>
      <c r="F7" s="20"/>
      <c r="G7" s="18" t="s">
        <v>9</v>
      </c>
      <c r="H7" s="18" t="s">
        <v>54</v>
      </c>
    </row>
    <row r="8" spans="1:8" ht="15.75" customHeight="1" x14ac:dyDescent="0.25">
      <c r="A8" s="18" t="s">
        <v>70</v>
      </c>
      <c r="B8" s="19" t="s">
        <v>68</v>
      </c>
      <c r="C8" s="18" t="s">
        <v>30</v>
      </c>
      <c r="D8" s="22" t="s">
        <v>74</v>
      </c>
      <c r="E8" s="18" t="s">
        <v>57</v>
      </c>
      <c r="F8" s="22"/>
      <c r="G8" s="18" t="s">
        <v>9</v>
      </c>
      <c r="H8" s="18" t="s">
        <v>54</v>
      </c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topLeftCell="A24" zoomScaleNormal="100" workbookViewId="0">
      <selection activeCell="G21" sqref="G21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32" t="s">
        <v>43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32" t="s">
        <v>43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32" t="s">
        <v>43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29" t="s">
        <v>60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29" t="s">
        <v>60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29" t="s">
        <v>60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29" t="s">
        <v>60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65</v>
      </c>
      <c r="D17" s="23" t="s">
        <v>30</v>
      </c>
      <c r="E17" s="23" t="s">
        <v>71</v>
      </c>
      <c r="F17" s="23" t="s">
        <v>75</v>
      </c>
      <c r="G17" s="25"/>
      <c r="H17" s="23" t="s">
        <v>9</v>
      </c>
      <c r="I17" s="23" t="s">
        <v>54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87</v>
      </c>
      <c r="D19" s="33" t="s">
        <v>46</v>
      </c>
      <c r="E19" s="33" t="s">
        <v>46</v>
      </c>
      <c r="F19" s="33" t="s">
        <v>46</v>
      </c>
      <c r="G19" s="32" t="s">
        <v>43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88</v>
      </c>
      <c r="D20" s="33" t="s">
        <v>47</v>
      </c>
      <c r="E20" s="33" t="s">
        <v>47</v>
      </c>
      <c r="F20" s="33" t="s">
        <v>47</v>
      </c>
      <c r="G20" s="32" t="s">
        <v>43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83</v>
      </c>
      <c r="D21" s="33" t="s">
        <v>49</v>
      </c>
      <c r="E21" s="33" t="s">
        <v>49</v>
      </c>
      <c r="F21" s="33" t="s">
        <v>49</v>
      </c>
      <c r="G21" s="32" t="s">
        <v>43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66</v>
      </c>
      <c r="D23" s="23" t="s">
        <v>30</v>
      </c>
      <c r="E23" s="23" t="s">
        <v>72</v>
      </c>
      <c r="F23" s="23" t="s">
        <v>76</v>
      </c>
      <c r="G23" s="25"/>
      <c r="H23" s="23" t="s">
        <v>9</v>
      </c>
      <c r="I23" s="23" t="s">
        <v>54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98</v>
      </c>
      <c r="D25" s="33" t="s">
        <v>46</v>
      </c>
      <c r="E25" s="33" t="s">
        <v>46</v>
      </c>
      <c r="F25" s="33" t="s">
        <v>46</v>
      </c>
      <c r="G25" s="32" t="s">
        <v>59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99</v>
      </c>
      <c r="D26" s="33" t="s">
        <v>47</v>
      </c>
      <c r="E26" s="33" t="s">
        <v>47</v>
      </c>
      <c r="F26" s="33" t="s">
        <v>47</v>
      </c>
      <c r="G26" s="32" t="s">
        <v>59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97</v>
      </c>
      <c r="D27" s="33" t="s">
        <v>48</v>
      </c>
      <c r="E27" s="33" t="s">
        <v>48</v>
      </c>
      <c r="F27" s="33" t="s">
        <v>48</v>
      </c>
      <c r="G27" s="32" t="s">
        <v>59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69</v>
      </c>
      <c r="C29" s="26" t="s">
        <v>67</v>
      </c>
      <c r="D29" s="23" t="s">
        <v>30</v>
      </c>
      <c r="E29" s="23" t="s">
        <v>73</v>
      </c>
      <c r="F29" s="23" t="s">
        <v>77</v>
      </c>
      <c r="G29" s="25"/>
      <c r="H29" s="23" t="s">
        <v>9</v>
      </c>
      <c r="I29" s="23" t="s">
        <v>54</v>
      </c>
    </row>
    <row r="30" spans="2:9" s="31" customFormat="1" ht="15.75" customHeight="1" x14ac:dyDescent="0.25"/>
    <row r="31" spans="2:9" s="31" customFormat="1" ht="15.75" customHeight="1" x14ac:dyDescent="0.25">
      <c r="B31" s="13" t="s">
        <v>84</v>
      </c>
      <c r="C31" s="14" t="s">
        <v>100</v>
      </c>
      <c r="G31" s="32" t="s">
        <v>59</v>
      </c>
      <c r="I31" s="30">
        <v>6</v>
      </c>
    </row>
    <row r="32" spans="2:9" s="31" customFormat="1" ht="15.75" customHeight="1" x14ac:dyDescent="0.25">
      <c r="B32" s="13" t="s">
        <v>85</v>
      </c>
      <c r="C32" s="14" t="s">
        <v>89</v>
      </c>
      <c r="G32" s="32" t="s">
        <v>59</v>
      </c>
      <c r="I32" s="30">
        <v>4</v>
      </c>
    </row>
    <row r="33" spans="2:9" s="31" customFormat="1" ht="15.75" customHeight="1" x14ac:dyDescent="0.25">
      <c r="B33" s="13" t="s">
        <v>86</v>
      </c>
      <c r="C33" s="14" t="s">
        <v>90</v>
      </c>
      <c r="G33" s="32" t="s">
        <v>59</v>
      </c>
      <c r="I33" s="30">
        <v>5</v>
      </c>
    </row>
    <row r="34" spans="2:9" s="31" customFormat="1" ht="15.75" customHeight="1" x14ac:dyDescent="0.25"/>
    <row r="35" spans="2:9" s="31" customFormat="1" ht="15.75" customHeight="1" x14ac:dyDescent="0.25">
      <c r="B35" s="23" t="s">
        <v>70</v>
      </c>
      <c r="C35" s="24" t="s">
        <v>68</v>
      </c>
      <c r="D35" s="23" t="s">
        <v>30</v>
      </c>
      <c r="E35" s="27" t="s">
        <v>74</v>
      </c>
      <c r="F35" s="23" t="s">
        <v>57</v>
      </c>
      <c r="G35" s="27"/>
      <c r="H35" s="23" t="s">
        <v>9</v>
      </c>
      <c r="I35" s="23" t="s">
        <v>54</v>
      </c>
    </row>
    <row r="36" spans="2:9" s="31" customFormat="1" ht="15.75" customHeight="1" x14ac:dyDescent="0.25"/>
    <row r="37" spans="2:9" s="31" customFormat="1" ht="15.75" customHeight="1" x14ac:dyDescent="0.25">
      <c r="B37" s="13" t="s">
        <v>91</v>
      </c>
      <c r="C37" s="14" t="s">
        <v>94</v>
      </c>
      <c r="G37" s="32" t="s">
        <v>61</v>
      </c>
      <c r="I37" s="30">
        <v>6</v>
      </c>
    </row>
    <row r="38" spans="2:9" s="31" customFormat="1" ht="15.75" customHeight="1" x14ac:dyDescent="0.25">
      <c r="B38" s="13" t="s">
        <v>92</v>
      </c>
      <c r="C38" s="14" t="s">
        <v>96</v>
      </c>
      <c r="G38" s="32" t="s">
        <v>61</v>
      </c>
      <c r="I38" s="30">
        <v>4</v>
      </c>
    </row>
    <row r="39" spans="2:9" s="31" customFormat="1" ht="15.75" customHeight="1" x14ac:dyDescent="0.25">
      <c r="B39" s="13" t="s">
        <v>93</v>
      </c>
      <c r="C39" s="14" t="s">
        <v>95</v>
      </c>
      <c r="G39" s="32" t="s">
        <v>61</v>
      </c>
      <c r="I39" s="30">
        <v>5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13">
    <mergeCell ref="C14:F14"/>
    <mergeCell ref="C6:F6"/>
    <mergeCell ref="C7:F7"/>
    <mergeCell ref="C8:F8"/>
    <mergeCell ref="C12:F12"/>
    <mergeCell ref="C13:F13"/>
    <mergeCell ref="C15:F15"/>
    <mergeCell ref="C26:F26"/>
    <mergeCell ref="C27:F27"/>
    <mergeCell ref="C19:F19"/>
    <mergeCell ref="C20:F20"/>
    <mergeCell ref="C21:F21"/>
    <mergeCell ref="C25:F25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42"/>
  <sheetViews>
    <sheetView topLeftCell="A13" workbookViewId="0">
      <selection activeCell="C35" sqref="C35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32" t="s">
        <v>43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32" t="s">
        <v>43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32" t="s">
        <v>43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29" t="s">
        <v>60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29" t="s">
        <v>60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29" t="s">
        <v>60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29" t="s">
        <v>60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65</v>
      </c>
      <c r="D17" s="23" t="s">
        <v>30</v>
      </c>
      <c r="E17" s="23" t="s">
        <v>71</v>
      </c>
      <c r="F17" s="23" t="s">
        <v>75</v>
      </c>
      <c r="G17" s="25"/>
      <c r="H17" s="23" t="s">
        <v>9</v>
      </c>
      <c r="I17" s="23" t="s">
        <v>54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87</v>
      </c>
      <c r="D19" s="33" t="s">
        <v>46</v>
      </c>
      <c r="E19" s="33" t="s">
        <v>46</v>
      </c>
      <c r="F19" s="33" t="s">
        <v>46</v>
      </c>
      <c r="G19" s="32" t="s">
        <v>43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88</v>
      </c>
      <c r="D20" s="33" t="s">
        <v>47</v>
      </c>
      <c r="E20" s="33" t="s">
        <v>47</v>
      </c>
      <c r="F20" s="33" t="s">
        <v>47</v>
      </c>
      <c r="G20" s="32" t="s">
        <v>43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83</v>
      </c>
      <c r="D21" s="33" t="s">
        <v>49</v>
      </c>
      <c r="E21" s="33" t="s">
        <v>49</v>
      </c>
      <c r="F21" s="33" t="s">
        <v>49</v>
      </c>
      <c r="G21" s="32" t="s">
        <v>43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66</v>
      </c>
      <c r="D23" s="23" t="s">
        <v>30</v>
      </c>
      <c r="E23" s="23" t="s">
        <v>72</v>
      </c>
      <c r="F23" s="23" t="s">
        <v>76</v>
      </c>
      <c r="G23" s="25"/>
      <c r="H23" s="23" t="s">
        <v>9</v>
      </c>
      <c r="I23" s="23" t="s">
        <v>54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98</v>
      </c>
      <c r="D25" s="33" t="s">
        <v>46</v>
      </c>
      <c r="E25" s="33" t="s">
        <v>46</v>
      </c>
      <c r="F25" s="33" t="s">
        <v>46</v>
      </c>
      <c r="G25" s="32" t="s">
        <v>59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99</v>
      </c>
      <c r="D26" s="33" t="s">
        <v>47</v>
      </c>
      <c r="E26" s="33" t="s">
        <v>47</v>
      </c>
      <c r="F26" s="33" t="s">
        <v>47</v>
      </c>
      <c r="G26" s="32" t="s">
        <v>59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97</v>
      </c>
      <c r="D27" s="33" t="s">
        <v>48</v>
      </c>
      <c r="E27" s="33" t="s">
        <v>48</v>
      </c>
      <c r="F27" s="33" t="s">
        <v>48</v>
      </c>
      <c r="G27" s="32" t="s">
        <v>59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69</v>
      </c>
      <c r="C29" s="26" t="s">
        <v>67</v>
      </c>
      <c r="D29" s="23" t="s">
        <v>30</v>
      </c>
      <c r="E29" s="23" t="s">
        <v>73</v>
      </c>
      <c r="F29" s="23" t="s">
        <v>77</v>
      </c>
      <c r="G29" s="25"/>
      <c r="H29" s="23" t="s">
        <v>9</v>
      </c>
      <c r="I29" s="23" t="s">
        <v>54</v>
      </c>
    </row>
    <row r="30" spans="2:9" s="31" customFormat="1" ht="15.75" customHeight="1" x14ac:dyDescent="0.25"/>
    <row r="31" spans="2:9" s="31" customFormat="1" ht="15.75" customHeight="1" x14ac:dyDescent="0.25">
      <c r="B31" s="13" t="s">
        <v>84</v>
      </c>
      <c r="C31" s="14" t="s">
        <v>100</v>
      </c>
      <c r="G31" s="32" t="s">
        <v>59</v>
      </c>
      <c r="I31" s="30">
        <v>6</v>
      </c>
    </row>
    <row r="32" spans="2:9" s="31" customFormat="1" ht="15.75" customHeight="1" x14ac:dyDescent="0.25">
      <c r="B32" s="13" t="s">
        <v>85</v>
      </c>
      <c r="C32" s="14" t="s">
        <v>89</v>
      </c>
      <c r="G32" s="32" t="s">
        <v>59</v>
      </c>
      <c r="I32" s="30">
        <v>4</v>
      </c>
    </row>
    <row r="33" spans="2:9" s="31" customFormat="1" ht="15.75" customHeight="1" x14ac:dyDescent="0.25">
      <c r="B33" s="13" t="s">
        <v>86</v>
      </c>
      <c r="C33" s="14" t="s">
        <v>90</v>
      </c>
      <c r="G33" s="32" t="s">
        <v>59</v>
      </c>
      <c r="I33" s="30">
        <v>5</v>
      </c>
    </row>
    <row r="34" spans="2:9" ht="15.75" customHeight="1" x14ac:dyDescent="0.25"/>
    <row r="35" spans="2:9" ht="15.75" customHeight="1" x14ac:dyDescent="0.25"/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4:F14"/>
    <mergeCell ref="C15:F15"/>
    <mergeCell ref="C6:F6"/>
    <mergeCell ref="C7:F7"/>
    <mergeCell ref="C8:F8"/>
    <mergeCell ref="C12:F12"/>
    <mergeCell ref="C13:F1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53"/>
  <sheetViews>
    <sheetView tabSelected="1" topLeftCell="A11" workbookViewId="0">
      <selection activeCell="C45" sqref="C45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50</v>
      </c>
      <c r="D4" s="16" t="s">
        <v>51</v>
      </c>
      <c r="E4" s="16" t="s">
        <v>52</v>
      </c>
      <c r="F4" s="16" t="s">
        <v>53</v>
      </c>
      <c r="G4" s="17"/>
      <c r="H4" s="16" t="s">
        <v>9</v>
      </c>
      <c r="I4" s="16" t="s">
        <v>58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78</v>
      </c>
      <c r="D6" s="34"/>
      <c r="E6" s="34"/>
      <c r="F6" s="34"/>
      <c r="G6" s="32" t="s">
        <v>43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32" t="s">
        <v>43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32" t="s">
        <v>43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64</v>
      </c>
      <c r="D10" s="23" t="s">
        <v>30</v>
      </c>
      <c r="E10" s="23" t="s">
        <v>55</v>
      </c>
      <c r="F10" s="23" t="s">
        <v>56</v>
      </c>
      <c r="G10" s="23"/>
      <c r="H10" s="23" t="s">
        <v>9</v>
      </c>
      <c r="I10" s="23" t="s">
        <v>54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79</v>
      </c>
      <c r="D12" s="33" t="s">
        <v>46</v>
      </c>
      <c r="E12" s="33" t="s">
        <v>46</v>
      </c>
      <c r="F12" s="33" t="s">
        <v>46</v>
      </c>
      <c r="G12" s="29" t="s">
        <v>60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80</v>
      </c>
      <c r="D13" s="33" t="s">
        <v>47</v>
      </c>
      <c r="E13" s="33" t="s">
        <v>47</v>
      </c>
      <c r="F13" s="33" t="s">
        <v>47</v>
      </c>
      <c r="G13" s="29" t="s">
        <v>60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81</v>
      </c>
      <c r="D14" s="33" t="s">
        <v>48</v>
      </c>
      <c r="E14" s="33" t="s">
        <v>48</v>
      </c>
      <c r="F14" s="33" t="s">
        <v>48</v>
      </c>
      <c r="G14" s="29" t="s">
        <v>60</v>
      </c>
      <c r="H14" s="13"/>
      <c r="I14" s="30">
        <v>5</v>
      </c>
    </row>
    <row r="15" spans="2:9" s="31" customFormat="1" ht="15.75" customHeight="1" x14ac:dyDescent="0.25">
      <c r="B15" s="13" t="s">
        <v>62</v>
      </c>
      <c r="C15" s="33" t="s">
        <v>82</v>
      </c>
      <c r="D15" s="33" t="s">
        <v>49</v>
      </c>
      <c r="E15" s="33" t="s">
        <v>49</v>
      </c>
      <c r="F15" s="33" t="s">
        <v>49</v>
      </c>
      <c r="G15" s="29" t="s">
        <v>60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65</v>
      </c>
      <c r="D17" s="23" t="s">
        <v>30</v>
      </c>
      <c r="E17" s="23" t="s">
        <v>71</v>
      </c>
      <c r="F17" s="23" t="s">
        <v>75</v>
      </c>
      <c r="G17" s="25"/>
      <c r="H17" s="23" t="s">
        <v>9</v>
      </c>
      <c r="I17" s="23" t="s">
        <v>54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87</v>
      </c>
      <c r="D19" s="33" t="s">
        <v>46</v>
      </c>
      <c r="E19" s="33" t="s">
        <v>46</v>
      </c>
      <c r="F19" s="33" t="s">
        <v>46</v>
      </c>
      <c r="G19" s="32" t="s">
        <v>43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88</v>
      </c>
      <c r="D20" s="33" t="s">
        <v>47</v>
      </c>
      <c r="E20" s="33" t="s">
        <v>47</v>
      </c>
      <c r="F20" s="33" t="s">
        <v>47</v>
      </c>
      <c r="G20" s="32" t="s">
        <v>43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83</v>
      </c>
      <c r="D21" s="33" t="s">
        <v>49</v>
      </c>
      <c r="E21" s="33" t="s">
        <v>49</v>
      </c>
      <c r="F21" s="33" t="s">
        <v>49</v>
      </c>
      <c r="G21" s="32" t="s">
        <v>43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66</v>
      </c>
      <c r="D23" s="23" t="s">
        <v>30</v>
      </c>
      <c r="E23" s="23" t="s">
        <v>72</v>
      </c>
      <c r="F23" s="23" t="s">
        <v>76</v>
      </c>
      <c r="G23" s="25"/>
      <c r="H23" s="23" t="s">
        <v>9</v>
      </c>
      <c r="I23" s="23" t="s">
        <v>54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98</v>
      </c>
      <c r="D25" s="33" t="s">
        <v>46</v>
      </c>
      <c r="E25" s="33" t="s">
        <v>46</v>
      </c>
      <c r="F25" s="33" t="s">
        <v>46</v>
      </c>
      <c r="G25" s="32" t="s">
        <v>59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99</v>
      </c>
      <c r="D26" s="33" t="s">
        <v>47</v>
      </c>
      <c r="E26" s="33" t="s">
        <v>47</v>
      </c>
      <c r="F26" s="33" t="s">
        <v>47</v>
      </c>
      <c r="G26" s="32" t="s">
        <v>59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97</v>
      </c>
      <c r="D27" s="33" t="s">
        <v>48</v>
      </c>
      <c r="E27" s="33" t="s">
        <v>48</v>
      </c>
      <c r="F27" s="33" t="s">
        <v>48</v>
      </c>
      <c r="G27" s="32" t="s">
        <v>59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69</v>
      </c>
      <c r="C29" s="26" t="s">
        <v>67</v>
      </c>
      <c r="D29" s="23" t="s">
        <v>30</v>
      </c>
      <c r="E29" s="23" t="s">
        <v>73</v>
      </c>
      <c r="F29" s="23" t="s">
        <v>77</v>
      </c>
      <c r="G29" s="25"/>
      <c r="H29" s="23" t="s">
        <v>9</v>
      </c>
      <c r="I29" s="23" t="s">
        <v>54</v>
      </c>
    </row>
    <row r="30" spans="2:9" s="31" customFormat="1" ht="15.75" customHeight="1" x14ac:dyDescent="0.25"/>
    <row r="31" spans="2:9" s="31" customFormat="1" ht="15.75" customHeight="1" x14ac:dyDescent="0.25">
      <c r="B31" s="13" t="s">
        <v>84</v>
      </c>
      <c r="C31" s="14" t="s">
        <v>100</v>
      </c>
      <c r="G31" s="32" t="s">
        <v>59</v>
      </c>
      <c r="I31" s="30">
        <v>6</v>
      </c>
    </row>
    <row r="32" spans="2:9" s="31" customFormat="1" ht="15.75" customHeight="1" x14ac:dyDescent="0.25">
      <c r="B32" s="13" t="s">
        <v>85</v>
      </c>
      <c r="C32" s="14" t="s">
        <v>89</v>
      </c>
      <c r="G32" s="32" t="s">
        <v>59</v>
      </c>
      <c r="I32" s="30">
        <v>4</v>
      </c>
    </row>
    <row r="33" spans="2:9" s="31" customFormat="1" ht="15.75" customHeight="1" x14ac:dyDescent="0.25">
      <c r="B33" s="13" t="s">
        <v>86</v>
      </c>
      <c r="C33" s="14" t="s">
        <v>90</v>
      </c>
      <c r="G33" s="32" t="s">
        <v>59</v>
      </c>
      <c r="I33" s="30">
        <v>5</v>
      </c>
    </row>
    <row r="34" spans="2:9" s="31" customFormat="1" ht="15.75" customHeight="1" x14ac:dyDescent="0.25"/>
    <row r="35" spans="2:9" s="31" customFormat="1" ht="15.75" customHeight="1" x14ac:dyDescent="0.25">
      <c r="B35" s="23" t="s">
        <v>70</v>
      </c>
      <c r="C35" s="24" t="s">
        <v>68</v>
      </c>
      <c r="D35" s="23" t="s">
        <v>30</v>
      </c>
      <c r="E35" s="27" t="s">
        <v>74</v>
      </c>
      <c r="F35" s="23" t="s">
        <v>57</v>
      </c>
      <c r="G35" s="27"/>
      <c r="H35" s="23" t="s">
        <v>9</v>
      </c>
      <c r="I35" s="23" t="s">
        <v>54</v>
      </c>
    </row>
    <row r="36" spans="2:9" s="31" customFormat="1" ht="15.75" customHeight="1" x14ac:dyDescent="0.25"/>
    <row r="37" spans="2:9" s="31" customFormat="1" ht="15.75" customHeight="1" x14ac:dyDescent="0.25">
      <c r="B37" s="13" t="s">
        <v>91</v>
      </c>
      <c r="C37" s="14" t="s">
        <v>94</v>
      </c>
      <c r="G37" s="32" t="s">
        <v>61</v>
      </c>
      <c r="I37" s="30">
        <v>6</v>
      </c>
    </row>
    <row r="38" spans="2:9" s="31" customFormat="1" ht="15.75" customHeight="1" x14ac:dyDescent="0.25">
      <c r="B38" s="13" t="s">
        <v>92</v>
      </c>
      <c r="C38" s="14" t="s">
        <v>96</v>
      </c>
      <c r="G38" s="32" t="s">
        <v>61</v>
      </c>
      <c r="I38" s="30">
        <v>4</v>
      </c>
    </row>
    <row r="39" spans="2:9" s="31" customFormat="1" ht="15.75" customHeight="1" x14ac:dyDescent="0.25">
      <c r="B39" s="13" t="s">
        <v>93</v>
      </c>
      <c r="C39" s="14" t="s">
        <v>95</v>
      </c>
      <c r="G39" s="32" t="s">
        <v>61</v>
      </c>
      <c r="I39" s="30">
        <v>5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2:F12"/>
    <mergeCell ref="C13:F13"/>
    <mergeCell ref="C14:F14"/>
    <mergeCell ref="C15:F15"/>
    <mergeCell ref="C6:F6"/>
    <mergeCell ref="C7:F7"/>
    <mergeCell ref="C8:F8"/>
    <mergeCell ref="C27:F27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4"/>
  <sheetViews>
    <sheetView topLeftCell="A124" zoomScale="70" zoomScaleNormal="70" workbookViewId="0">
      <selection activeCell="B32" sqref="B32:I39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8" width="12.44140625" customWidth="1"/>
    <col min="9" max="9" width="13.6640625" customWidth="1"/>
    <col min="10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31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32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35" t="s">
        <v>29</v>
      </c>
      <c r="C16" s="35"/>
      <c r="D16" s="35"/>
      <c r="E16" s="35"/>
      <c r="F16" s="35"/>
      <c r="G16" s="35"/>
    </row>
    <row r="17" spans="2:9" ht="15.75" customHeight="1" x14ac:dyDescent="0.25">
      <c r="B17" s="35"/>
      <c r="C17" s="35"/>
      <c r="D17" s="35"/>
      <c r="E17" s="35"/>
      <c r="F17" s="35"/>
      <c r="G17" s="35"/>
    </row>
    <row r="18" spans="2:9" ht="15.75" customHeight="1" x14ac:dyDescent="0.25">
      <c r="B18" s="35"/>
      <c r="C18" s="35"/>
      <c r="D18" s="35"/>
      <c r="E18" s="35"/>
      <c r="F18" s="35"/>
      <c r="G18" s="35"/>
    </row>
    <row r="19" spans="2:9" ht="15.75" customHeight="1" x14ac:dyDescent="0.25">
      <c r="B19" s="35"/>
      <c r="C19" s="35"/>
      <c r="D19" s="35"/>
      <c r="E19" s="35"/>
      <c r="F19" s="35"/>
      <c r="G19" s="35"/>
    </row>
    <row r="20" spans="2:9" ht="15.75" customHeight="1" x14ac:dyDescent="0.25">
      <c r="B20" s="35"/>
      <c r="C20" s="35"/>
      <c r="D20" s="35"/>
      <c r="E20" s="35"/>
      <c r="F20" s="35"/>
      <c r="G20" s="35"/>
    </row>
    <row r="21" spans="2:9" ht="15.75" customHeight="1" x14ac:dyDescent="0.25">
      <c r="B21" s="35"/>
      <c r="C21" s="35"/>
      <c r="D21" s="35"/>
      <c r="E21" s="35"/>
      <c r="F21" s="35"/>
      <c r="G21" s="35"/>
    </row>
    <row r="22" spans="2:9" ht="15.75" customHeight="1" x14ac:dyDescent="0.25">
      <c r="B22" s="35"/>
      <c r="C22" s="35"/>
      <c r="D22" s="35"/>
      <c r="E22" s="35"/>
      <c r="F22" s="35"/>
      <c r="G22" s="35"/>
    </row>
    <row r="23" spans="2:9" ht="15.75" customHeight="1" x14ac:dyDescent="0.25">
      <c r="B23" s="35"/>
      <c r="C23" s="35"/>
      <c r="D23" s="35"/>
      <c r="E23" s="35"/>
      <c r="F23" s="35"/>
      <c r="G23" s="35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34</v>
      </c>
      <c r="C33" s="5">
        <v>6</v>
      </c>
      <c r="D33" s="4">
        <v>1</v>
      </c>
      <c r="E33" s="4">
        <v>1</v>
      </c>
      <c r="F33" s="4">
        <v>1</v>
      </c>
      <c r="G33" s="4">
        <v>2</v>
      </c>
      <c r="H33" s="4">
        <v>1</v>
      </c>
      <c r="I33" s="6">
        <v>6</v>
      </c>
    </row>
    <row r="34" spans="2:9" ht="15.75" customHeight="1" x14ac:dyDescent="0.25">
      <c r="B34" s="2" t="s">
        <v>35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36</v>
      </c>
      <c r="C35" s="5">
        <v>5</v>
      </c>
      <c r="D35" s="4">
        <v>1</v>
      </c>
      <c r="E35" s="4">
        <v>2</v>
      </c>
      <c r="F35" s="4">
        <v>1</v>
      </c>
      <c r="G35" s="4">
        <v>1</v>
      </c>
      <c r="H35" s="4">
        <v>0</v>
      </c>
      <c r="I35" s="6">
        <v>5</v>
      </c>
    </row>
    <row r="36" spans="2:9" ht="15.75" customHeight="1" x14ac:dyDescent="0.25">
      <c r="B36" s="2" t="s">
        <v>62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7" t="s">
        <v>27</v>
      </c>
      <c r="C38" s="3">
        <f>SUM(C33:C36)</f>
        <v>20</v>
      </c>
      <c r="D38" s="3">
        <f>C38-SUM(D33:D36)</f>
        <v>16</v>
      </c>
      <c r="E38" s="3">
        <f>D38-SUM(E33:E36)</f>
        <v>10</v>
      </c>
      <c r="F38" s="3">
        <f>E38-SUM(F33:F36)</f>
        <v>5</v>
      </c>
      <c r="G38" s="3">
        <f>F38-SUM(G33:G36)</f>
        <v>1</v>
      </c>
      <c r="H38" s="3">
        <f>G38-SUM(H33:H36)</f>
        <v>0</v>
      </c>
    </row>
    <row r="39" spans="2:9" ht="15.75" customHeight="1" x14ac:dyDescent="0.25">
      <c r="B39" s="7" t="s">
        <v>28</v>
      </c>
      <c r="C39" s="3">
        <f>SUM(C33:C36)</f>
        <v>20</v>
      </c>
      <c r="D39" s="3">
        <f>C39-(SUM(C33:C36)/5)</f>
        <v>16</v>
      </c>
      <c r="E39" s="3">
        <f>D39-(SUM(D33:D36)/5)</f>
        <v>15.2</v>
      </c>
      <c r="F39" s="3">
        <f>E39-(SUM(E33:E36)/5)</f>
        <v>14</v>
      </c>
      <c r="G39" s="3">
        <f>F39-(SUM(F33:F36)/5)</f>
        <v>13</v>
      </c>
      <c r="H39" s="3">
        <f>G39-(SUM(G33:G36)/5)</f>
        <v>12.2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>
      <c r="B43" s="35" t="s">
        <v>29</v>
      </c>
      <c r="C43" s="35"/>
      <c r="D43" s="35"/>
      <c r="E43" s="35"/>
      <c r="F43" s="35"/>
      <c r="G43" s="35"/>
    </row>
    <row r="44" spans="2:9" ht="15.75" customHeight="1" x14ac:dyDescent="0.25">
      <c r="B44" s="35"/>
      <c r="C44" s="35"/>
      <c r="D44" s="35"/>
      <c r="E44" s="35"/>
      <c r="F44" s="35"/>
      <c r="G44" s="35"/>
    </row>
    <row r="45" spans="2:9" ht="15.75" customHeight="1" x14ac:dyDescent="0.25">
      <c r="B45" s="35"/>
      <c r="C45" s="35"/>
      <c r="D45" s="35"/>
      <c r="E45" s="35"/>
      <c r="F45" s="35"/>
      <c r="G45" s="35"/>
    </row>
    <row r="46" spans="2:9" ht="15.75" customHeight="1" x14ac:dyDescent="0.25">
      <c r="B46" s="35"/>
      <c r="C46" s="35"/>
      <c r="D46" s="35"/>
      <c r="E46" s="35"/>
      <c r="F46" s="35"/>
      <c r="G46" s="35"/>
    </row>
    <row r="47" spans="2:9" ht="15.75" customHeight="1" x14ac:dyDescent="0.25">
      <c r="B47" s="35"/>
      <c r="C47" s="35"/>
      <c r="D47" s="35"/>
      <c r="E47" s="35"/>
      <c r="F47" s="35"/>
      <c r="G47" s="35"/>
    </row>
    <row r="48" spans="2:9" ht="15.75" customHeight="1" x14ac:dyDescent="0.25">
      <c r="B48" s="35"/>
      <c r="C48" s="35"/>
      <c r="D48" s="35"/>
      <c r="E48" s="35"/>
      <c r="F48" s="35"/>
      <c r="G48" s="35"/>
    </row>
    <row r="49" spans="2:9" ht="15.75" customHeight="1" x14ac:dyDescent="0.25">
      <c r="B49" s="35"/>
      <c r="C49" s="35"/>
      <c r="D49" s="35"/>
      <c r="E49" s="35"/>
      <c r="F49" s="35"/>
      <c r="G49" s="35"/>
    </row>
    <row r="50" spans="2:9" ht="15.75" customHeight="1" x14ac:dyDescent="0.25">
      <c r="B50" s="35"/>
      <c r="C50" s="35"/>
      <c r="D50" s="35"/>
      <c r="E50" s="35"/>
      <c r="F50" s="35"/>
      <c r="G50" s="35"/>
    </row>
    <row r="51" spans="2:9" ht="15.75" customHeight="1" x14ac:dyDescent="0.25"/>
    <row r="52" spans="2:9" ht="15.75" customHeight="1" x14ac:dyDescent="0.25"/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>
      <c r="B61" s="3"/>
      <c r="C61" s="3" t="s">
        <v>17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25</v>
      </c>
      <c r="I61" s="3" t="s">
        <v>26</v>
      </c>
    </row>
    <row r="62" spans="2:9" ht="15.75" customHeight="1" x14ac:dyDescent="0.25">
      <c r="B62" s="2" t="s">
        <v>37</v>
      </c>
      <c r="C62" s="5">
        <v>6</v>
      </c>
      <c r="D62" s="4">
        <v>2</v>
      </c>
      <c r="E62" s="4">
        <v>2</v>
      </c>
      <c r="F62" s="4">
        <v>1</v>
      </c>
      <c r="G62" s="4">
        <v>1</v>
      </c>
      <c r="H62" s="4">
        <v>0</v>
      </c>
      <c r="I62" s="6">
        <f>SUM(D62:H62)</f>
        <v>6</v>
      </c>
    </row>
    <row r="63" spans="2:9" ht="15.75" customHeight="1" x14ac:dyDescent="0.25">
      <c r="B63" s="2" t="s">
        <v>38</v>
      </c>
      <c r="C63" s="5">
        <v>4</v>
      </c>
      <c r="D63" s="4">
        <v>1</v>
      </c>
      <c r="E63" s="4">
        <v>1</v>
      </c>
      <c r="F63" s="4">
        <v>1</v>
      </c>
      <c r="G63" s="4">
        <v>0</v>
      </c>
      <c r="H63" s="4">
        <v>1</v>
      </c>
      <c r="I63" s="6">
        <f>SUM(D63:H63)</f>
        <v>4</v>
      </c>
    </row>
    <row r="64" spans="2:9" ht="15.75" customHeight="1" x14ac:dyDescent="0.25">
      <c r="B64" s="2" t="s">
        <v>39</v>
      </c>
      <c r="C64" s="5">
        <v>5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6">
        <f>SUM(D64:H64)</f>
        <v>5</v>
      </c>
    </row>
    <row r="65" spans="2:8" ht="15.75" customHeight="1" x14ac:dyDescent="0.25"/>
    <row r="66" spans="2:8" ht="15.75" customHeight="1" x14ac:dyDescent="0.25"/>
    <row r="67" spans="2:8" ht="15.75" customHeight="1" x14ac:dyDescent="0.25">
      <c r="B67" s="8"/>
      <c r="C67" s="3"/>
      <c r="D67" s="3"/>
      <c r="E67" s="3"/>
      <c r="F67" s="3"/>
      <c r="G67" s="3"/>
      <c r="H67" s="3"/>
    </row>
    <row r="68" spans="2:8" ht="15.75" customHeight="1" x14ac:dyDescent="0.25"/>
    <row r="69" spans="2:8" ht="15.75" customHeight="1" x14ac:dyDescent="0.25">
      <c r="B69" s="7" t="s">
        <v>27</v>
      </c>
      <c r="C69" s="3">
        <f>SUM(C62:C64)</f>
        <v>15</v>
      </c>
      <c r="D69" s="3">
        <f>C69-SUM(D62:D64)</f>
        <v>11</v>
      </c>
      <c r="E69" s="3">
        <f>D69-SUM(E62:E64)</f>
        <v>7</v>
      </c>
      <c r="F69" s="3">
        <f>E69-SUM(F62:F64)</f>
        <v>4</v>
      </c>
      <c r="G69" s="3">
        <f>F69-SUM(G62:G64)</f>
        <v>2</v>
      </c>
      <c r="H69" s="3">
        <f>G69-SUM(H62:H64)</f>
        <v>0</v>
      </c>
    </row>
    <row r="70" spans="2:8" ht="15.75" customHeight="1" x14ac:dyDescent="0.25">
      <c r="B70" s="7" t="s">
        <v>28</v>
      </c>
      <c r="C70" s="3">
        <f>SUM(C62:C64)</f>
        <v>15</v>
      </c>
      <c r="D70" s="3">
        <f>C70-(SUM(C62:C64)/5)</f>
        <v>12</v>
      </c>
      <c r="E70" s="3">
        <f>D70-(SUM(D62:D64)/5)</f>
        <v>11.2</v>
      </c>
      <c r="F70" s="3">
        <f>E70-(SUM(E62:E64)/5)</f>
        <v>10.399999999999999</v>
      </c>
      <c r="G70" s="3">
        <f>F70-(SUM(F62:F64)/5)</f>
        <v>9.7999999999999989</v>
      </c>
      <c r="H70" s="3">
        <f>G70-(SUM(G62:G64)/5)</f>
        <v>9.3999999999999986</v>
      </c>
    </row>
    <row r="71" spans="2:8" ht="15.75" customHeight="1" x14ac:dyDescent="0.25"/>
    <row r="72" spans="2:8" ht="15.75" customHeight="1" x14ac:dyDescent="0.25"/>
    <row r="73" spans="2:8" ht="15.75" customHeight="1" x14ac:dyDescent="0.25"/>
    <row r="74" spans="2:8" ht="15.75" customHeight="1" x14ac:dyDescent="0.25">
      <c r="B74" s="35" t="s">
        <v>29</v>
      </c>
      <c r="C74" s="35"/>
      <c r="D74" s="35"/>
      <c r="E74" s="35"/>
      <c r="F74" s="35"/>
      <c r="G74" s="35"/>
    </row>
    <row r="75" spans="2:8" ht="15.75" customHeight="1" x14ac:dyDescent="0.25">
      <c r="B75" s="35"/>
      <c r="C75" s="35"/>
      <c r="D75" s="35"/>
      <c r="E75" s="35"/>
      <c r="F75" s="35"/>
      <c r="G75" s="35"/>
    </row>
    <row r="76" spans="2:8" ht="15.75" customHeight="1" x14ac:dyDescent="0.25">
      <c r="B76" s="35"/>
      <c r="C76" s="35"/>
      <c r="D76" s="35"/>
      <c r="E76" s="35"/>
      <c r="F76" s="35"/>
      <c r="G76" s="35"/>
    </row>
    <row r="77" spans="2:8" ht="15.75" customHeight="1" x14ac:dyDescent="0.25">
      <c r="B77" s="35"/>
      <c r="C77" s="35"/>
      <c r="D77" s="35"/>
      <c r="E77" s="35"/>
      <c r="F77" s="35"/>
      <c r="G77" s="35"/>
    </row>
    <row r="78" spans="2:8" ht="15.75" customHeight="1" x14ac:dyDescent="0.25">
      <c r="B78" s="35"/>
      <c r="C78" s="35"/>
      <c r="D78" s="35"/>
      <c r="E78" s="35"/>
      <c r="F78" s="35"/>
      <c r="G78" s="35"/>
    </row>
    <row r="79" spans="2:8" ht="15.75" customHeight="1" x14ac:dyDescent="0.25">
      <c r="B79" s="35"/>
      <c r="C79" s="35"/>
      <c r="D79" s="35"/>
      <c r="E79" s="35"/>
      <c r="F79" s="35"/>
      <c r="G79" s="35"/>
    </row>
    <row r="80" spans="2:8" ht="15.75" customHeight="1" x14ac:dyDescent="0.25">
      <c r="B80" s="35"/>
      <c r="C80" s="35"/>
      <c r="D80" s="35"/>
      <c r="E80" s="35"/>
      <c r="F80" s="35"/>
      <c r="G80" s="35"/>
    </row>
    <row r="81" spans="2:9" ht="15.75" customHeight="1" x14ac:dyDescent="0.25">
      <c r="B81" s="35"/>
      <c r="C81" s="35"/>
      <c r="D81" s="35"/>
      <c r="E81" s="35"/>
      <c r="F81" s="35"/>
      <c r="G81" s="35"/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>
      <c r="B93" s="3"/>
      <c r="C93" s="3" t="s">
        <v>17</v>
      </c>
      <c r="D93" s="3" t="s">
        <v>21</v>
      </c>
      <c r="E93" s="3" t="s">
        <v>22</v>
      </c>
      <c r="F93" s="3" t="s">
        <v>23</v>
      </c>
      <c r="G93" s="3" t="s">
        <v>24</v>
      </c>
      <c r="H93" s="3" t="s">
        <v>25</v>
      </c>
      <c r="I93" s="3" t="s">
        <v>26</v>
      </c>
    </row>
    <row r="94" spans="2:9" ht="15.75" customHeight="1" x14ac:dyDescent="0.25">
      <c r="B94" s="2" t="s">
        <v>40</v>
      </c>
      <c r="C94" s="5">
        <v>5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6">
        <f>SUM(D94:H94)</f>
        <v>5</v>
      </c>
    </row>
    <row r="95" spans="2:9" ht="15.75" customHeight="1" x14ac:dyDescent="0.25">
      <c r="B95" s="2" t="s">
        <v>41</v>
      </c>
      <c r="C95" s="5">
        <v>4</v>
      </c>
      <c r="D95" s="4">
        <v>1</v>
      </c>
      <c r="E95" s="4">
        <v>1</v>
      </c>
      <c r="F95" s="4">
        <v>1</v>
      </c>
      <c r="G95" s="4">
        <v>1</v>
      </c>
      <c r="H95" s="4">
        <v>0</v>
      </c>
      <c r="I95" s="6">
        <f>SUM(D95:H95)</f>
        <v>4</v>
      </c>
    </row>
    <row r="96" spans="2:9" ht="15.75" customHeight="1" x14ac:dyDescent="0.25">
      <c r="B96" s="2" t="s">
        <v>42</v>
      </c>
      <c r="C96" s="5">
        <v>6</v>
      </c>
      <c r="D96" s="4">
        <v>2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6</v>
      </c>
    </row>
    <row r="97" spans="2:8" ht="15.75" customHeight="1" x14ac:dyDescent="0.25"/>
    <row r="98" spans="2:8" ht="15.75" customHeight="1" x14ac:dyDescent="0.25"/>
    <row r="99" spans="2:8" ht="15.75" customHeight="1" x14ac:dyDescent="0.25">
      <c r="B99" s="8"/>
      <c r="C99" s="3"/>
      <c r="D99" s="3"/>
      <c r="E99" s="3"/>
      <c r="F99" s="3"/>
      <c r="G99" s="3"/>
      <c r="H99" s="3"/>
    </row>
    <row r="100" spans="2:8" ht="15.75" customHeight="1" x14ac:dyDescent="0.25"/>
    <row r="101" spans="2:8" ht="15.75" customHeight="1" x14ac:dyDescent="0.25">
      <c r="B101" s="7" t="s">
        <v>27</v>
      </c>
      <c r="C101" s="3">
        <f>SUM(C94:C96)</f>
        <v>15</v>
      </c>
      <c r="D101" s="3">
        <f>C101-SUM(D94:D96)</f>
        <v>11</v>
      </c>
      <c r="E101" s="3">
        <f>D101-SUM(E94:E96)</f>
        <v>8</v>
      </c>
      <c r="F101" s="3">
        <f>E101-SUM(F94:F96)</f>
        <v>5</v>
      </c>
      <c r="G101" s="3">
        <f>F101-SUM(G94:G96)</f>
        <v>2</v>
      </c>
      <c r="H101" s="3">
        <f>G101-SUM(H94:H96)</f>
        <v>0</v>
      </c>
    </row>
    <row r="102" spans="2:8" ht="15.75" customHeight="1" x14ac:dyDescent="0.25">
      <c r="B102" s="7" t="s">
        <v>28</v>
      </c>
      <c r="C102" s="3">
        <f>SUM(C94:C96)</f>
        <v>15</v>
      </c>
      <c r="D102" s="3">
        <f>C102-(SUM(C94:C96)/5)</f>
        <v>12</v>
      </c>
      <c r="E102" s="3">
        <f>D102-(SUM(D94:D96)/5)</f>
        <v>11.2</v>
      </c>
      <c r="F102" s="3">
        <f>E102-(SUM(E94:E96)/5)</f>
        <v>10.6</v>
      </c>
      <c r="G102" s="3">
        <f>F102-(SUM(F94:F96)/5)</f>
        <v>10</v>
      </c>
      <c r="H102" s="3">
        <f>G102-(SUM(G94:G96)/5)</f>
        <v>9.4</v>
      </c>
    </row>
    <row r="103" spans="2:8" ht="15.75" customHeight="1" x14ac:dyDescent="0.25"/>
    <row r="104" spans="2:8" ht="15.75" customHeight="1" x14ac:dyDescent="0.25"/>
    <row r="105" spans="2:8" ht="15.75" customHeight="1" x14ac:dyDescent="0.25"/>
    <row r="106" spans="2:8" ht="15.75" customHeight="1" x14ac:dyDescent="0.25">
      <c r="B106" s="35" t="s">
        <v>29</v>
      </c>
      <c r="C106" s="35"/>
      <c r="D106" s="35"/>
      <c r="E106" s="35"/>
      <c r="F106" s="35"/>
      <c r="G106" s="35"/>
    </row>
    <row r="107" spans="2:8" ht="15.75" customHeight="1" x14ac:dyDescent="0.25">
      <c r="B107" s="35"/>
      <c r="C107" s="35"/>
      <c r="D107" s="35"/>
      <c r="E107" s="35"/>
      <c r="F107" s="35"/>
      <c r="G107" s="35"/>
    </row>
    <row r="108" spans="2:8" ht="15.75" customHeight="1" x14ac:dyDescent="0.25">
      <c r="B108" s="35"/>
      <c r="C108" s="35"/>
      <c r="D108" s="35"/>
      <c r="E108" s="35"/>
      <c r="F108" s="35"/>
      <c r="G108" s="35"/>
    </row>
    <row r="109" spans="2:8" ht="15.75" customHeight="1" x14ac:dyDescent="0.25">
      <c r="B109" s="35"/>
      <c r="C109" s="35"/>
      <c r="D109" s="35"/>
      <c r="E109" s="35"/>
      <c r="F109" s="35"/>
      <c r="G109" s="35"/>
    </row>
    <row r="110" spans="2:8" ht="15.75" customHeight="1" x14ac:dyDescent="0.25">
      <c r="B110" s="35"/>
      <c r="C110" s="35"/>
      <c r="D110" s="35"/>
      <c r="E110" s="35"/>
      <c r="F110" s="35"/>
      <c r="G110" s="35"/>
    </row>
    <row r="111" spans="2:8" ht="15.75" customHeight="1" x14ac:dyDescent="0.25">
      <c r="B111" s="35"/>
      <c r="C111" s="35"/>
      <c r="D111" s="35"/>
      <c r="E111" s="35"/>
      <c r="F111" s="35"/>
      <c r="G111" s="35"/>
    </row>
    <row r="112" spans="2:8" ht="15.75" customHeight="1" x14ac:dyDescent="0.25">
      <c r="B112" s="35"/>
      <c r="C112" s="35"/>
      <c r="D112" s="35"/>
      <c r="E112" s="35"/>
      <c r="F112" s="35"/>
      <c r="G112" s="35"/>
    </row>
    <row r="113" spans="2:9" ht="15.75" customHeight="1" x14ac:dyDescent="0.25">
      <c r="B113" s="35"/>
      <c r="C113" s="35"/>
      <c r="D113" s="35"/>
      <c r="E113" s="35"/>
      <c r="F113" s="35"/>
      <c r="G113" s="35"/>
    </row>
    <row r="114" spans="2:9" ht="15.75" customHeight="1" x14ac:dyDescent="0.25"/>
    <row r="115" spans="2:9" ht="15.75" customHeight="1" x14ac:dyDescent="0.25"/>
    <row r="116" spans="2:9" ht="15.75" customHeight="1" x14ac:dyDescent="0.25"/>
    <row r="117" spans="2:9" ht="15.75" customHeight="1" x14ac:dyDescent="0.25">
      <c r="B117" s="3"/>
      <c r="C117" s="3" t="s">
        <v>17</v>
      </c>
      <c r="D117" s="3" t="s">
        <v>21</v>
      </c>
      <c r="E117" s="3" t="s">
        <v>22</v>
      </c>
      <c r="F117" s="3" t="s">
        <v>23</v>
      </c>
      <c r="G117" s="3" t="s">
        <v>24</v>
      </c>
      <c r="H117" s="3" t="s">
        <v>25</v>
      </c>
      <c r="I117" s="3" t="s">
        <v>26</v>
      </c>
    </row>
    <row r="118" spans="2:9" ht="15.75" customHeight="1" x14ac:dyDescent="0.25">
      <c r="B118" s="2" t="s">
        <v>84</v>
      </c>
      <c r="C118" s="5">
        <v>5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6">
        <f>SUM(D118:H118)</f>
        <v>5</v>
      </c>
    </row>
    <row r="119" spans="2:9" ht="15.75" customHeight="1" x14ac:dyDescent="0.25">
      <c r="B119" s="2" t="s">
        <v>85</v>
      </c>
      <c r="C119" s="5">
        <v>4</v>
      </c>
      <c r="D119" s="4">
        <v>1</v>
      </c>
      <c r="E119" s="4">
        <v>1</v>
      </c>
      <c r="F119" s="4">
        <v>1</v>
      </c>
      <c r="G119" s="4">
        <v>1</v>
      </c>
      <c r="H119" s="4">
        <v>0</v>
      </c>
      <c r="I119" s="6">
        <f>SUM(D119:H119)</f>
        <v>4</v>
      </c>
    </row>
    <row r="120" spans="2:9" ht="15.75" customHeight="1" x14ac:dyDescent="0.25">
      <c r="B120" s="2" t="s">
        <v>86</v>
      </c>
      <c r="C120" s="5">
        <v>6</v>
      </c>
      <c r="D120" s="4">
        <v>2</v>
      </c>
      <c r="E120" s="4">
        <v>1</v>
      </c>
      <c r="F120" s="4">
        <v>1</v>
      </c>
      <c r="G120" s="4">
        <v>1</v>
      </c>
      <c r="H120" s="4">
        <v>1</v>
      </c>
      <c r="I120" s="6">
        <f>SUM(D120:H120)</f>
        <v>6</v>
      </c>
    </row>
    <row r="121" spans="2:9" ht="15.75" customHeight="1" x14ac:dyDescent="0.25"/>
    <row r="122" spans="2:9" ht="15.75" customHeight="1" x14ac:dyDescent="0.25"/>
    <row r="123" spans="2:9" ht="15.75" customHeight="1" x14ac:dyDescent="0.25">
      <c r="B123" s="8"/>
      <c r="C123" s="3"/>
      <c r="D123" s="3"/>
      <c r="E123" s="3"/>
      <c r="F123" s="3"/>
      <c r="G123" s="3"/>
      <c r="H123" s="3"/>
    </row>
    <row r="124" spans="2:9" ht="15.75" customHeight="1" x14ac:dyDescent="0.25"/>
    <row r="125" spans="2:9" ht="15.75" customHeight="1" x14ac:dyDescent="0.25">
      <c r="B125" s="7" t="s">
        <v>27</v>
      </c>
      <c r="C125" s="3">
        <f>SUM(C118:C120)</f>
        <v>15</v>
      </c>
      <c r="D125" s="3">
        <f>C125-SUM(D118:D120)</f>
        <v>11</v>
      </c>
      <c r="E125" s="3">
        <f>D125-SUM(E118:E120)</f>
        <v>8</v>
      </c>
      <c r="F125" s="3">
        <f>E125-SUM(F118:F120)</f>
        <v>5</v>
      </c>
      <c r="G125" s="3">
        <f>F125-SUM(G118:G120)</f>
        <v>2</v>
      </c>
      <c r="H125" s="3">
        <f>G125-SUM(H118:H120)</f>
        <v>0</v>
      </c>
    </row>
    <row r="126" spans="2:9" ht="15.75" customHeight="1" x14ac:dyDescent="0.25">
      <c r="B126" s="7" t="s">
        <v>28</v>
      </c>
      <c r="C126" s="3">
        <f>SUM(C118:C120)</f>
        <v>15</v>
      </c>
      <c r="D126" s="3">
        <f>C126-(SUM(C118:C120)/5)</f>
        <v>12</v>
      </c>
      <c r="E126" s="3">
        <f>D126-(SUM(D118:D120)/5)</f>
        <v>11.2</v>
      </c>
      <c r="F126" s="3">
        <f>E126-(SUM(E118:E120)/5)</f>
        <v>10.6</v>
      </c>
      <c r="G126" s="3">
        <f>F126-(SUM(F118:F120)/5)</f>
        <v>10</v>
      </c>
      <c r="H126" s="3">
        <f>G126-(SUM(G118:G120)/5)</f>
        <v>9.4</v>
      </c>
    </row>
    <row r="127" spans="2:9" ht="15.75" customHeight="1" x14ac:dyDescent="0.25"/>
    <row r="128" spans="2:9" ht="15.75" customHeight="1" x14ac:dyDescent="0.25"/>
    <row r="129" spans="2:9" ht="15.75" customHeight="1" x14ac:dyDescent="0.25"/>
    <row r="130" spans="2:9" ht="15.75" customHeight="1" x14ac:dyDescent="0.25">
      <c r="B130" s="35" t="s">
        <v>29</v>
      </c>
      <c r="C130" s="35"/>
      <c r="D130" s="35"/>
      <c r="E130" s="35"/>
      <c r="F130" s="35"/>
      <c r="G130" s="35"/>
    </row>
    <row r="131" spans="2:9" ht="15.75" customHeight="1" x14ac:dyDescent="0.25">
      <c r="B131" s="35"/>
      <c r="C131" s="35"/>
      <c r="D131" s="35"/>
      <c r="E131" s="35"/>
      <c r="F131" s="35"/>
      <c r="G131" s="35"/>
    </row>
    <row r="132" spans="2:9" ht="15.75" customHeight="1" x14ac:dyDescent="0.25">
      <c r="B132" s="35"/>
      <c r="C132" s="35"/>
      <c r="D132" s="35"/>
      <c r="E132" s="35"/>
      <c r="F132" s="35"/>
      <c r="G132" s="35"/>
    </row>
    <row r="133" spans="2:9" ht="15.75" customHeight="1" x14ac:dyDescent="0.25">
      <c r="B133" s="35"/>
      <c r="C133" s="35"/>
      <c r="D133" s="35"/>
      <c r="E133" s="35"/>
      <c r="F133" s="35"/>
      <c r="G133" s="35"/>
    </row>
    <row r="134" spans="2:9" ht="15.75" customHeight="1" x14ac:dyDescent="0.25">
      <c r="B134" s="35"/>
      <c r="C134" s="35"/>
      <c r="D134" s="35"/>
      <c r="E134" s="35"/>
      <c r="F134" s="35"/>
      <c r="G134" s="35"/>
    </row>
    <row r="135" spans="2:9" ht="15.75" customHeight="1" x14ac:dyDescent="0.25">
      <c r="B135" s="35"/>
      <c r="C135" s="35"/>
      <c r="D135" s="35"/>
      <c r="E135" s="35"/>
      <c r="F135" s="35"/>
      <c r="G135" s="35"/>
    </row>
    <row r="136" spans="2:9" ht="15.75" customHeight="1" x14ac:dyDescent="0.25">
      <c r="B136" s="35"/>
      <c r="C136" s="35"/>
      <c r="D136" s="35"/>
      <c r="E136" s="35"/>
      <c r="F136" s="35"/>
      <c r="G136" s="35"/>
    </row>
    <row r="137" spans="2:9" ht="15.75" customHeight="1" x14ac:dyDescent="0.25">
      <c r="B137" s="35"/>
      <c r="C137" s="35"/>
      <c r="D137" s="35"/>
      <c r="E137" s="35"/>
      <c r="F137" s="35"/>
      <c r="G137" s="35"/>
    </row>
    <row r="138" spans="2:9" ht="15.75" customHeight="1" x14ac:dyDescent="0.25"/>
    <row r="139" spans="2:9" ht="15.75" customHeight="1" x14ac:dyDescent="0.25"/>
    <row r="140" spans="2:9" ht="15.75" customHeight="1" x14ac:dyDescent="0.25"/>
    <row r="141" spans="2:9" ht="15.75" customHeight="1" x14ac:dyDescent="0.25">
      <c r="B141" s="3"/>
      <c r="C141" s="3" t="s">
        <v>17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25</v>
      </c>
      <c r="I141" s="3" t="s">
        <v>26</v>
      </c>
    </row>
    <row r="142" spans="2:9" ht="15.75" customHeight="1" x14ac:dyDescent="0.25">
      <c r="B142" s="2" t="s">
        <v>91</v>
      </c>
      <c r="C142" s="5">
        <v>5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  <c r="I142" s="6">
        <f>SUM(D142:H142)</f>
        <v>5</v>
      </c>
    </row>
    <row r="143" spans="2:9" ht="15.75" customHeight="1" x14ac:dyDescent="0.25">
      <c r="B143" s="2" t="s">
        <v>92</v>
      </c>
      <c r="C143" s="5">
        <v>4</v>
      </c>
      <c r="D143" s="4">
        <v>1</v>
      </c>
      <c r="E143" s="4">
        <v>1</v>
      </c>
      <c r="F143" s="4">
        <v>1</v>
      </c>
      <c r="G143" s="4">
        <v>1</v>
      </c>
      <c r="H143" s="4">
        <v>0</v>
      </c>
      <c r="I143" s="6">
        <f>SUM(D143:H143)</f>
        <v>4</v>
      </c>
    </row>
    <row r="144" spans="2:9" ht="15.75" customHeight="1" x14ac:dyDescent="0.25">
      <c r="B144" s="2" t="s">
        <v>93</v>
      </c>
      <c r="C144" s="5">
        <v>6</v>
      </c>
      <c r="D144" s="4">
        <v>2</v>
      </c>
      <c r="E144" s="4">
        <v>1</v>
      </c>
      <c r="F144" s="4">
        <v>1</v>
      </c>
      <c r="G144" s="4">
        <v>1</v>
      </c>
      <c r="H144" s="4">
        <v>1</v>
      </c>
      <c r="I144" s="6">
        <f>SUM(D144:H144)</f>
        <v>6</v>
      </c>
    </row>
    <row r="145" spans="2:8" ht="15.75" customHeight="1" x14ac:dyDescent="0.25"/>
    <row r="146" spans="2:8" ht="15.75" customHeight="1" x14ac:dyDescent="0.25"/>
    <row r="147" spans="2:8" ht="15.75" customHeight="1" x14ac:dyDescent="0.25">
      <c r="B147" s="8"/>
      <c r="C147" s="3"/>
      <c r="D147" s="3"/>
      <c r="E147" s="3"/>
      <c r="F147" s="3"/>
      <c r="G147" s="3"/>
      <c r="H147" s="3"/>
    </row>
    <row r="148" spans="2:8" ht="15.75" customHeight="1" x14ac:dyDescent="0.25"/>
    <row r="149" spans="2:8" ht="15.75" customHeight="1" x14ac:dyDescent="0.25">
      <c r="B149" s="7" t="s">
        <v>27</v>
      </c>
      <c r="C149" s="3">
        <f>SUM(C142:C144)</f>
        <v>15</v>
      </c>
      <c r="D149" s="3">
        <f>C149-SUM(D142:D144)</f>
        <v>11</v>
      </c>
      <c r="E149" s="3">
        <f>D149-SUM(E142:E144)</f>
        <v>8</v>
      </c>
      <c r="F149" s="3">
        <f>E149-SUM(F142:F144)</f>
        <v>5</v>
      </c>
      <c r="G149" s="3">
        <f>F149-SUM(G142:G144)</f>
        <v>2</v>
      </c>
      <c r="H149" s="3">
        <f>G149-SUM(H142:H144)</f>
        <v>0</v>
      </c>
    </row>
    <row r="150" spans="2:8" ht="15.75" customHeight="1" x14ac:dyDescent="0.25">
      <c r="B150" s="7" t="s">
        <v>28</v>
      </c>
      <c r="C150" s="3">
        <f>SUM(C142:C144)</f>
        <v>15</v>
      </c>
      <c r="D150" s="3">
        <f>C150-(SUM(C142:C144)/5)</f>
        <v>12</v>
      </c>
      <c r="E150" s="3">
        <f>D150-(SUM(D142:D144)/5)</f>
        <v>11.2</v>
      </c>
      <c r="F150" s="3">
        <f>E150-(SUM(E142:E144)/5)</f>
        <v>10.6</v>
      </c>
      <c r="G150" s="3">
        <f>F150-(SUM(F142:F144)/5)</f>
        <v>10</v>
      </c>
      <c r="H150" s="3">
        <f>G150-(SUM(G142:G144)/5)</f>
        <v>9.4</v>
      </c>
    </row>
    <row r="151" spans="2:8" ht="15.75" customHeight="1" x14ac:dyDescent="0.25"/>
    <row r="152" spans="2:8" ht="15.75" customHeight="1" x14ac:dyDescent="0.25"/>
    <row r="153" spans="2:8" ht="15.75" customHeight="1" x14ac:dyDescent="0.25"/>
    <row r="154" spans="2:8" ht="15.75" customHeight="1" x14ac:dyDescent="0.25">
      <c r="B154" s="35" t="s">
        <v>29</v>
      </c>
      <c r="C154" s="35"/>
      <c r="D154" s="35"/>
      <c r="E154" s="35"/>
      <c r="F154" s="35"/>
      <c r="G154" s="35"/>
    </row>
    <row r="155" spans="2:8" ht="15.75" customHeight="1" x14ac:dyDescent="0.25">
      <c r="B155" s="35"/>
      <c r="C155" s="35"/>
      <c r="D155" s="35"/>
      <c r="E155" s="35"/>
      <c r="F155" s="35"/>
      <c r="G155" s="35"/>
    </row>
    <row r="156" spans="2:8" ht="15.75" customHeight="1" x14ac:dyDescent="0.25">
      <c r="B156" s="35"/>
      <c r="C156" s="35"/>
      <c r="D156" s="35"/>
      <c r="E156" s="35"/>
      <c r="F156" s="35"/>
      <c r="G156" s="35"/>
    </row>
    <row r="157" spans="2:8" ht="15.75" customHeight="1" x14ac:dyDescent="0.25">
      <c r="B157" s="35"/>
      <c r="C157" s="35"/>
      <c r="D157" s="35"/>
      <c r="E157" s="35"/>
      <c r="F157" s="35"/>
      <c r="G157" s="35"/>
    </row>
    <row r="158" spans="2:8" ht="15.75" customHeight="1" x14ac:dyDescent="0.25">
      <c r="B158" s="35"/>
      <c r="C158" s="35"/>
      <c r="D158" s="35"/>
      <c r="E158" s="35"/>
      <c r="F158" s="35"/>
      <c r="G158" s="35"/>
    </row>
    <row r="159" spans="2:8" ht="15.75" customHeight="1" x14ac:dyDescent="0.25">
      <c r="B159" s="35"/>
      <c r="C159" s="35"/>
      <c r="D159" s="35"/>
      <c r="E159" s="35"/>
      <c r="F159" s="35"/>
      <c r="G159" s="35"/>
    </row>
    <row r="160" spans="2:8" ht="15.75" customHeight="1" x14ac:dyDescent="0.25">
      <c r="B160" s="35"/>
      <c r="C160" s="35"/>
      <c r="D160" s="35"/>
      <c r="E160" s="35"/>
      <c r="F160" s="35"/>
      <c r="G160" s="35"/>
    </row>
    <row r="161" spans="2:7" ht="15.75" customHeight="1" x14ac:dyDescent="0.25">
      <c r="B161" s="35"/>
      <c r="C161" s="35"/>
      <c r="D161" s="35"/>
      <c r="E161" s="35"/>
      <c r="F161" s="35"/>
      <c r="G161" s="35"/>
    </row>
    <row r="162" spans="2:7" ht="15.75" customHeight="1" x14ac:dyDescent="0.25"/>
    <row r="163" spans="2:7" ht="15.75" customHeight="1" x14ac:dyDescent="0.25"/>
    <row r="164" spans="2:7" ht="15.75" customHeight="1" x14ac:dyDescent="0.25"/>
    <row r="165" spans="2:7" ht="15.75" customHeight="1" x14ac:dyDescent="0.25"/>
    <row r="166" spans="2:7" ht="15.75" customHeight="1" x14ac:dyDescent="0.25"/>
    <row r="167" spans="2:7" ht="15.75" customHeight="1" x14ac:dyDescent="0.25"/>
    <row r="168" spans="2:7" ht="15.75" customHeight="1" x14ac:dyDescent="0.25"/>
    <row r="169" spans="2:7" ht="15.75" customHeight="1" x14ac:dyDescent="0.25"/>
    <row r="170" spans="2:7" ht="15.75" customHeight="1" x14ac:dyDescent="0.25"/>
    <row r="171" spans="2:7" ht="15.75" customHeight="1" x14ac:dyDescent="0.25"/>
    <row r="172" spans="2:7" ht="15.75" customHeight="1" x14ac:dyDescent="0.25"/>
    <row r="173" spans="2:7" ht="15.75" customHeight="1" x14ac:dyDescent="0.25"/>
    <row r="174" spans="2:7" ht="15.75" customHeight="1" x14ac:dyDescent="0.25"/>
    <row r="175" spans="2:7" ht="15.75" customHeight="1" x14ac:dyDescent="0.25"/>
    <row r="176" spans="2:7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6">
    <mergeCell ref="B154:G161"/>
    <mergeCell ref="B106:G113"/>
    <mergeCell ref="B16:G23"/>
    <mergeCell ref="B43:G50"/>
    <mergeCell ref="B74:G81"/>
    <mergeCell ref="B130:G137"/>
  </mergeCells>
  <phoneticPr fontId="4" type="noConversion"/>
  <pageMargins left="0.7" right="0.7" top="0.75" bottom="0.75" header="0" footer="0"/>
  <pageSetup orientation="landscape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2025-12-15T23:11:26Z</dcterms:modified>
</cp:coreProperties>
</file>