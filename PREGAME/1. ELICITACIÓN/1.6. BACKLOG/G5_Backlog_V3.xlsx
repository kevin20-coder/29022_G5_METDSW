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101" documentId="8_{A5A36AD6-EF9B-42E9-A0DA-BF65764D98F5}" xr6:coauthVersionLast="47" xr6:coauthVersionMax="47" xr10:uidLastSave="{3435C26E-55F4-4CA8-8AA6-C7113713DBA3}"/>
  <bookViews>
    <workbookView xWindow="-108" yWindow="-108" windowWidth="23256" windowHeight="12456" activeTab="4" xr2:uid="{00000000-000D-0000-FFFF-FFFF00000000}"/>
  </bookViews>
  <sheets>
    <sheet name="Backlog" sheetId="1" r:id="rId1"/>
    <sheet name="sprint0" sheetId="2" r:id="rId2"/>
    <sheet name="sprint1" sheetId="4" r:id="rId3"/>
    <sheet name="sprint2" sheetId="5" r:id="rId4"/>
    <sheet name="sprint3" sheetId="6" r:id="rId5"/>
    <sheet name="burdonchart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umbVZyOcx52yre52oR6StKY4AhwVaEfQZSgxcWGFbfY="/>
    </ext>
  </extLst>
</workbook>
</file>

<file path=xl/calcChain.xml><?xml version="1.0" encoding="utf-8"?>
<calcChain xmlns="http://schemas.openxmlformats.org/spreadsheetml/2006/main">
  <c r="E104" i="3" l="1"/>
  <c r="F104" i="3"/>
  <c r="G104" i="3"/>
  <c r="H104" i="3"/>
  <c r="D104" i="3"/>
  <c r="E103" i="3"/>
  <c r="F103" i="3"/>
  <c r="G103" i="3"/>
  <c r="H103" i="3"/>
  <c r="D103" i="3"/>
  <c r="C104" i="3"/>
  <c r="C103" i="3"/>
  <c r="I99" i="3"/>
  <c r="E72" i="3"/>
  <c r="F72" i="3" s="1"/>
  <c r="G72" i="3" s="1"/>
  <c r="H72" i="3" s="1"/>
  <c r="D72" i="3"/>
  <c r="E71" i="3"/>
  <c r="F71" i="3" s="1"/>
  <c r="G71" i="3" s="1"/>
  <c r="H71" i="3" s="1"/>
  <c r="D71" i="3"/>
  <c r="C72" i="3"/>
  <c r="C71" i="3"/>
  <c r="I67" i="3"/>
  <c r="E40" i="3"/>
  <c r="F40" i="3" s="1"/>
  <c r="G40" i="3" s="1"/>
  <c r="H40" i="3" s="1"/>
  <c r="D40" i="3"/>
  <c r="E41" i="3"/>
  <c r="F41" i="3" s="1"/>
  <c r="G41" i="3" s="1"/>
  <c r="H41" i="3" s="1"/>
  <c r="D41" i="3"/>
  <c r="C41" i="3"/>
  <c r="C40" i="3"/>
  <c r="I36" i="3"/>
  <c r="I35" i="3"/>
  <c r="I34" i="3"/>
  <c r="I33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6" i="3"/>
  <c r="I97" i="3"/>
  <c r="I98" i="3"/>
  <c r="I66" i="3"/>
  <c r="I64" i="3"/>
  <c r="I65" i="3"/>
</calcChain>
</file>

<file path=xl/sharedStrings.xml><?xml version="1.0" encoding="utf-8"?>
<sst xmlns="http://schemas.openxmlformats.org/spreadsheetml/2006/main" count="569" uniqueCount="103">
  <si>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</si>
  <si>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</si>
  <si>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</si>
  <si>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</si>
  <si>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</si>
  <si>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</si>
  <si>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</si>
  <si>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</si>
  <si>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</si>
  <si>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</si>
  <si>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</si>
  <si>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</si>
  <si>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</si>
  <si>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</si>
  <si>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</si>
  <si>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</si>
  <si>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</si>
  <si>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</si>
  <si>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</si>
  <si>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</si>
  <si>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</si>
  <si>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</si>
  <si>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</si>
  <si>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</si>
  <si>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</si>
  <si>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</si>
  <si>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</si>
  <si>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</si>
  <si>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</si>
  <si>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</si>
  <si>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</si>
  <si>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</si>
  <si>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</si>
  <si>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</si>
  <si>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</si>
  <si>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</si>
  <si>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</si>
  <si>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</si>
  <si>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</si>
  <si>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</si>
  <si>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</si>
  <si>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</si>
  <si>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</si>
  <si>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</si>
  <si>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</si>
  <si>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</si>
  <si>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REQ003-4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</si>
  <si>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</si>
  <si>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</si>
  <si>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</si>
  <si>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</si>
  <si>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</si>
  <si>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</si>
  <si>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</si>
  <si>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</si>
  <si>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</si>
  <si>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</si>
  <si>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</si>
  <si>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</si>
  <si>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 xml:space="preserve">En proceso </t>
  </si>
  <si>
    <t>M. Lugmaña</t>
  </si>
  <si>
    <t>E. Tasiguano</t>
  </si>
  <si>
    <t>C, Marcalla</t>
  </si>
  <si>
    <t>REQ002-4</t>
  </si>
  <si>
    <t>REQ004-4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</si>
  <si>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</si>
  <si>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</si>
  <si>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</si>
  <si>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</si>
  <si>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</si>
  <si>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</si>
  <si>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</si>
  <si>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</si>
  <si>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</si>
  <si>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</si>
  <si>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</si>
  <si>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</si>
  <si>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</si>
  <si>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</si>
  <si>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</si>
  <si>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</si>
  <si>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</si>
  <si>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</si>
  <si>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</si>
  <si>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</si>
  <si>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</si>
  <si>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</si>
  <si>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</si>
  <si>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</si>
  <si>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</si>
  <si>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</si>
  <si>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</si>
  <si>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</si>
  <si>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Habilitar la búsqueda de clientes a eliminar mediante nombre o cédula.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</si>
  <si>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</si>
  <si>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</si>
  <si>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</si>
  <si>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</si>
  <si>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</si>
  <si>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</si>
  <si>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Habilitar la edición de datos personales como dirección, teléfono, email y otros campos.</t>
  </si>
  <si>
    <t>Implementar validaciones para evitar duplicados o información incompleta durante la modificación.</t>
  </si>
  <si>
    <t>Permitir buscar al cliente a modificar mediante nombre, apellido, cedula o teléfono.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</si>
</sst>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 Narrow"/>
      <family val="2"/>
    </font>
    <font>
      <sz val="10"/>
      <color rgb="FF0070C0"/>
      <name val="Arial"/>
      <family val="2"/>
      <scheme val="minor"/>
    </font>
    <font>
      <b/>
      <sz val="10"/>
      <color rgb="FF0070C0"/>
      <name val="Arial"/>
      <family val="2"/>
    </font>
    <font>
      <sz val="11"/>
      <color rgb="FF0070C0"/>
      <name val="Arial Narrow"/>
      <family val="2"/>
    </font>
    <font>
      <u/>
      <sz val="10"/>
      <color rgb="FF0070C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5" borderId="0" xfId="0" applyFont="1" applyFill="1"/>
    <xf numFmtId="0" fontId="11" fillId="5" borderId="0" xfId="0" applyFont="1" applyFill="1"/>
    <xf numFmtId="0" fontId="10" fillId="0" borderId="2" xfId="0" applyFont="1" applyBorder="1"/>
    <xf numFmtId="0" fontId="13" fillId="6" borderId="2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4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/>
    </xf>
    <xf numFmtId="0" fontId="10" fillId="5" borderId="2" xfId="0" applyFont="1" applyFill="1" applyBorder="1"/>
    <xf numFmtId="0" fontId="13" fillId="7" borderId="2" xfId="0" applyFont="1" applyFill="1" applyBorder="1" applyAlignment="1">
      <alignment horizontal="center" vertical="center" wrapText="1"/>
    </xf>
    <xf numFmtId="0" fontId="11" fillId="5" borderId="2" xfId="0" applyFont="1" applyFill="1" applyBorder="1"/>
    <xf numFmtId="0" fontId="14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top"/>
    </xf>
    <xf numFmtId="0" fontId="10" fillId="0" borderId="1" xfId="0" applyFont="1" applyBorder="1" applyAlignment="1">
      <alignment horizontal="right"/>
    </xf>
    <xf numFmtId="0" fontId="14" fillId="0" borderId="0" xfId="0" applyFont="1"/>
    <xf numFmtId="0" fontId="16" fillId="0" borderId="1" xfId="0" applyFont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left" vertical="center" wrapText="1"/>
    </xf>
    <xf numFmtId="0" fontId="17" fillId="0" borderId="0" xfId="0" applyFont="1"/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burdonchart!$C$40:$H$40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burdonchart!$C$41:$H$41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13.6</c:v>
                </c:pt>
                <c:pt idx="3">
                  <c:v>12.4</c:v>
                </c:pt>
                <c:pt idx="4">
                  <c:v>11.4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burdonchart!$B$71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burdonchart!$C$71:$H$71</c:f>
              <c:numCache>
                <c:formatCode>General</c:formatCode>
                <c:ptCount val="6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burdonchart!$C$72:$H$72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13.2</c:v>
                </c:pt>
                <c:pt idx="5">
                  <c:v>12.6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burdonchart!$B$103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burdonchart!$C$103:$H$103</c:f>
              <c:numCache>
                <c:formatCode>General</c:formatCode>
                <c:ptCount val="6"/>
                <c:pt idx="0">
                  <c:v>21</c:v>
                </c:pt>
                <c:pt idx="1">
                  <c:v>15</c:v>
                </c:pt>
                <c:pt idx="2">
                  <c:v>11</c:v>
                </c:pt>
                <c:pt idx="3">
                  <c:v>7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burdonchart!$B$104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burdonchart!$C$104:$H$104</c:f>
              <c:numCache>
                <c:formatCode>General</c:formatCode>
                <c:ptCount val="6"/>
                <c:pt idx="0">
                  <c:v>21</c:v>
                </c:pt>
                <c:pt idx="1">
                  <c:v>16.8</c:v>
                </c:pt>
                <c:pt idx="2">
                  <c:v>15.600000000000001</c:v>
                </c:pt>
                <c:pt idx="3">
                  <c:v>14.8</c:v>
                </c:pt>
                <c:pt idx="4">
                  <c:v>14</c:v>
                </c:pt>
                <c:pt idx="5">
                  <c:v>13.2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burdonchart!$B$40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burdonchart!$C$40:$H$40</c:f>
              <c:numCache>
                <c:formatCode>General</c:formatCode>
                <c:ptCount val="6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burdonchart!$B$41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burdonchart!$C$41:$H$41</c:f>
              <c:numCache>
                <c:formatCode>General</c:formatCode>
                <c:ptCount val="6"/>
                <c:pt idx="0">
                  <c:v>18</c:v>
                </c:pt>
                <c:pt idx="1">
                  <c:v>14.4</c:v>
                </c:pt>
                <c:pt idx="2">
                  <c:v>13.6</c:v>
                </c:pt>
                <c:pt idx="3">
                  <c:v>12.4</c:v>
                </c:pt>
                <c:pt idx="4">
                  <c:v>11.4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33</xdr:row>
      <xdr:rowOff>189139</xdr:rowOff>
    </xdr:from>
    <xdr:to>
      <xdr:col>15</xdr:col>
      <xdr:colOff>167368</xdr:colOff>
      <xdr:row>47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60</xdr:row>
      <xdr:rowOff>40820</xdr:rowOff>
    </xdr:from>
    <xdr:to>
      <xdr:col>15</xdr:col>
      <xdr:colOff>162197</xdr:colOff>
      <xdr:row>73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95</xdr:row>
      <xdr:rowOff>136071</xdr:rowOff>
    </xdr:from>
    <xdr:to>
      <xdr:col>15</xdr:col>
      <xdr:colOff>214993</xdr:colOff>
      <xdr:row>109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4:I66" headerRowCount="0" totalsRowShown="0">
  <tableColumns count="1">
    <tableColumn id="1" xr3:uid="{39D12BE6-76AE-45D3-B9AB-374B2C3BB84D}" name="Column1">
      <calculatedColumnFormula>SUM(D64:H64)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6:I98" headerRowCount="0" totalsRowShown="0">
  <tableColumns count="1">
    <tableColumn id="1" xr3:uid="{F0C3D221-1910-4683-9473-FCE1F64FE72B}" name="Column1">
      <calculatedColumnFormula>SUM(D96:H96)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topLeftCell="C1" workbookViewId="0">
      <selection activeCell="A8" sqref="A8:H8"/>
    </sheetView>
  </sheetViews>
  <sheetFormatPr baseColWidth="10" defaultColWidth="12.5546875" defaultRowHeight="15" customHeight="1" x14ac:dyDescent="0.25"/>
  <cols>
    <col min="1" max="1" width="12.44140625" style="11" customWidth="1"/>
    <col min="2" max="2" width="36.5546875" style="11" customWidth="1"/>
    <col min="3" max="3" width="36" style="11" customWidth="1"/>
    <col min="4" max="4" width="64.44140625" style="11" customWidth="1"/>
    <col min="5" max="5" width="67.109375" style="11" customWidth="1"/>
    <col min="6" max="26" width="12.44140625" style="11" customWidth="1"/>
    <col min="27" max="16384" width="12.5546875" style="11"/>
  </cols>
  <sheetData>
    <row r="1" spans="1:8" ht="15.7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15.75" customHeight="1" x14ac:dyDescent="0.25">
      <c r="A2" s="12"/>
      <c r="B2" s="12"/>
      <c r="C2" s="12"/>
      <c r="D2" s="9"/>
      <c r="E2" s="9"/>
      <c r="G2" s="12"/>
      <c r="H2" s="12"/>
    </row>
    <row r="3" spans="1:8" customFormat="1" ht="15.75" customHeight="1" x14ac:dyDescent="0.25">
      <c r="A3" s="18" t="s">
        <v>8</v>
      </c>
      <c r="B3" s="19" t="s">
        <v>65</v>
      </c>
      <c r="C3" s="18" t="s">
        <v>30</v>
      </c>
      <c r="D3" s="18" t="s">
        <v>53</v>
      </c>
      <c r="E3" s="18" t="s">
        <v>54</v>
      </c>
      <c r="F3" s="20"/>
      <c r="G3" s="18" t="s">
        <v>9</v>
      </c>
      <c r="H3" s="18" t="s">
        <v>55</v>
      </c>
    </row>
    <row r="4" spans="1:8" customFormat="1" ht="15.75" customHeight="1" x14ac:dyDescent="0.25">
      <c r="A4" s="18" t="s">
        <v>31</v>
      </c>
      <c r="B4" s="19" t="s">
        <v>66</v>
      </c>
      <c r="C4" s="18" t="s">
        <v>30</v>
      </c>
      <c r="D4" s="18" t="s">
        <v>56</v>
      </c>
      <c r="E4" s="18" t="s">
        <v>57</v>
      </c>
      <c r="F4" s="18"/>
      <c r="G4" s="18" t="s">
        <v>9</v>
      </c>
      <c r="H4" s="18" t="s">
        <v>55</v>
      </c>
    </row>
    <row r="5" spans="1:8" customFormat="1" ht="15.75" customHeight="1" x14ac:dyDescent="0.25">
      <c r="A5" s="18" t="s">
        <v>32</v>
      </c>
      <c r="B5" s="19" t="s">
        <v>67</v>
      </c>
      <c r="C5" s="18" t="s">
        <v>30</v>
      </c>
      <c r="D5" s="18" t="s">
        <v>73</v>
      </c>
      <c r="E5" s="18" t="s">
        <v>77</v>
      </c>
      <c r="F5" s="20"/>
      <c r="G5" s="18" t="s">
        <v>9</v>
      </c>
      <c r="H5" s="18" t="s">
        <v>55</v>
      </c>
    </row>
    <row r="6" spans="1:8" customFormat="1" ht="15.75" customHeight="1" x14ac:dyDescent="0.25">
      <c r="A6" s="18" t="s">
        <v>33</v>
      </c>
      <c r="B6" s="19" t="s">
        <v>68</v>
      </c>
      <c r="C6" s="18" t="s">
        <v>30</v>
      </c>
      <c r="D6" s="18" t="s">
        <v>74</v>
      </c>
      <c r="E6" s="18" t="s">
        <v>78</v>
      </c>
      <c r="F6" s="20"/>
      <c r="G6" s="18" t="s">
        <v>9</v>
      </c>
      <c r="H6" s="18" t="s">
        <v>55</v>
      </c>
    </row>
    <row r="7" spans="1:8" s="15" customFormat="1" ht="14.1" customHeight="1" x14ac:dyDescent="0.25">
      <c r="A7" s="18" t="s">
        <v>71</v>
      </c>
      <c r="B7" s="21" t="s">
        <v>69</v>
      </c>
      <c r="C7" s="18" t="s">
        <v>30</v>
      </c>
      <c r="D7" s="18" t="s">
        <v>75</v>
      </c>
      <c r="E7" s="18" t="s">
        <v>79</v>
      </c>
      <c r="F7" s="20"/>
      <c r="G7" s="18" t="s">
        <v>9</v>
      </c>
      <c r="H7" s="18" t="s">
        <v>55</v>
      </c>
    </row>
    <row r="8" spans="1:8" ht="15.75" customHeight="1" x14ac:dyDescent="0.25">
      <c r="A8" s="18" t="s">
        <v>72</v>
      </c>
      <c r="B8" s="19" t="s">
        <v>70</v>
      </c>
      <c r="C8" s="18" t="s">
        <v>30</v>
      </c>
      <c r="D8" s="22" t="s">
        <v>76</v>
      </c>
      <c r="E8" s="18" t="s">
        <v>58</v>
      </c>
      <c r="F8" s="22"/>
      <c r="G8" s="18" t="s">
        <v>9</v>
      </c>
      <c r="H8" s="18" t="s">
        <v>55</v>
      </c>
    </row>
    <row r="9" spans="1:8" ht="15.75" customHeight="1" x14ac:dyDescent="0.25"/>
    <row r="10" spans="1:8" ht="15.75" customHeight="1" x14ac:dyDescent="0.25"/>
    <row r="11" spans="1:8" ht="15.75" customHeight="1" x14ac:dyDescent="0.25"/>
    <row r="12" spans="1:8" ht="15.75" customHeight="1" x14ac:dyDescent="0.25"/>
    <row r="13" spans="1:8" ht="15.75" customHeight="1" x14ac:dyDescent="0.25"/>
    <row r="14" spans="1:8" ht="15.75" customHeight="1" x14ac:dyDescent="0.25"/>
    <row r="15" spans="1:8" ht="15.75" customHeight="1" x14ac:dyDescent="0.25"/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topLeftCell="A7" zoomScaleNormal="100" workbookViewId="0">
      <selection activeCell="A7" sqref="A1:XFD1048576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51</v>
      </c>
      <c r="D4" s="16" t="s">
        <v>52</v>
      </c>
      <c r="E4" s="16" t="s">
        <v>53</v>
      </c>
      <c r="F4" s="16" t="s">
        <v>54</v>
      </c>
      <c r="G4" s="17"/>
      <c r="H4" s="16" t="s">
        <v>9</v>
      </c>
      <c r="I4" s="16" t="s">
        <v>59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80</v>
      </c>
      <c r="D6" s="34"/>
      <c r="E6" s="34"/>
      <c r="F6" s="34"/>
      <c r="G6" s="29" t="s">
        <v>61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61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61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66</v>
      </c>
      <c r="D10" s="23" t="s">
        <v>30</v>
      </c>
      <c r="E10" s="23" t="s">
        <v>56</v>
      </c>
      <c r="F10" s="23" t="s">
        <v>57</v>
      </c>
      <c r="G10" s="23"/>
      <c r="H10" s="23" t="s">
        <v>9</v>
      </c>
      <c r="I10" s="23" t="s">
        <v>55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81</v>
      </c>
      <c r="D12" s="33" t="s">
        <v>47</v>
      </c>
      <c r="E12" s="33" t="s">
        <v>47</v>
      </c>
      <c r="F12" s="33" t="s">
        <v>47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82</v>
      </c>
      <c r="D13" s="33" t="s">
        <v>48</v>
      </c>
      <c r="E13" s="33" t="s">
        <v>48</v>
      </c>
      <c r="F13" s="33" t="s">
        <v>48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83</v>
      </c>
      <c r="D14" s="33" t="s">
        <v>49</v>
      </c>
      <c r="E14" s="33" t="s">
        <v>49</v>
      </c>
      <c r="F14" s="33" t="s">
        <v>49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63</v>
      </c>
      <c r="C15" s="33" t="s">
        <v>84</v>
      </c>
      <c r="D15" s="33" t="s">
        <v>50</v>
      </c>
      <c r="E15" s="33" t="s">
        <v>50</v>
      </c>
      <c r="F15" s="33" t="s">
        <v>50</v>
      </c>
      <c r="G15" s="32" t="s">
        <v>43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67</v>
      </c>
      <c r="D17" s="23" t="s">
        <v>30</v>
      </c>
      <c r="E17" s="23" t="s">
        <v>73</v>
      </c>
      <c r="F17" s="23" t="s">
        <v>77</v>
      </c>
      <c r="G17" s="25"/>
      <c r="H17" s="23" t="s">
        <v>9</v>
      </c>
      <c r="I17" s="23" t="s">
        <v>55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89</v>
      </c>
      <c r="D19" s="33" t="s">
        <v>47</v>
      </c>
      <c r="E19" s="33" t="s">
        <v>47</v>
      </c>
      <c r="F19" s="33" t="s">
        <v>47</v>
      </c>
      <c r="G19" s="32" t="s">
        <v>62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90</v>
      </c>
      <c r="D20" s="33" t="s">
        <v>48</v>
      </c>
      <c r="E20" s="33" t="s">
        <v>48</v>
      </c>
      <c r="F20" s="33" t="s">
        <v>48</v>
      </c>
      <c r="G20" s="32" t="s">
        <v>62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85</v>
      </c>
      <c r="D21" s="33" t="s">
        <v>50</v>
      </c>
      <c r="E21" s="33" t="s">
        <v>50</v>
      </c>
      <c r="F21" s="33" t="s">
        <v>50</v>
      </c>
      <c r="G21" s="32" t="s">
        <v>62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68</v>
      </c>
      <c r="D23" s="23" t="s">
        <v>30</v>
      </c>
      <c r="E23" s="23" t="s">
        <v>74</v>
      </c>
      <c r="F23" s="23" t="s">
        <v>78</v>
      </c>
      <c r="G23" s="25"/>
      <c r="H23" s="23" t="s">
        <v>9</v>
      </c>
      <c r="I23" s="23" t="s">
        <v>55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102</v>
      </c>
      <c r="D25" s="33" t="s">
        <v>47</v>
      </c>
      <c r="E25" s="33" t="s">
        <v>47</v>
      </c>
      <c r="F25" s="33" t="s">
        <v>47</v>
      </c>
      <c r="G25" s="32" t="s">
        <v>60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100</v>
      </c>
      <c r="D26" s="33" t="s">
        <v>48</v>
      </c>
      <c r="E26" s="33" t="s">
        <v>48</v>
      </c>
      <c r="F26" s="33" t="s">
        <v>48</v>
      </c>
      <c r="G26" s="32" t="s">
        <v>60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101</v>
      </c>
      <c r="D27" s="33" t="s">
        <v>49</v>
      </c>
      <c r="E27" s="33" t="s">
        <v>49</v>
      </c>
      <c r="F27" s="33" t="s">
        <v>49</v>
      </c>
      <c r="G27" s="32" t="s">
        <v>60</v>
      </c>
      <c r="H27" s="13"/>
      <c r="I27" s="30">
        <v>5</v>
      </c>
    </row>
    <row r="28" spans="2:9" s="31" customFormat="1" ht="15.75" customHeight="1" x14ac:dyDescent="0.25"/>
    <row r="29" spans="2:9" s="31" customFormat="1" ht="15.75" customHeight="1" x14ac:dyDescent="0.25">
      <c r="B29" s="23" t="s">
        <v>71</v>
      </c>
      <c r="C29" s="26" t="s">
        <v>69</v>
      </c>
      <c r="D29" s="23" t="s">
        <v>30</v>
      </c>
      <c r="E29" s="23" t="s">
        <v>75</v>
      </c>
      <c r="F29" s="23" t="s">
        <v>79</v>
      </c>
      <c r="G29" s="25"/>
      <c r="H29" s="23" t="s">
        <v>9</v>
      </c>
      <c r="I29" s="23" t="s">
        <v>55</v>
      </c>
    </row>
    <row r="30" spans="2:9" s="31" customFormat="1" ht="15.75" customHeight="1" x14ac:dyDescent="0.25"/>
    <row r="31" spans="2:9" s="31" customFormat="1" ht="15.75" customHeight="1" x14ac:dyDescent="0.25">
      <c r="B31" s="13" t="s">
        <v>86</v>
      </c>
      <c r="C31" s="31" t="s">
        <v>93</v>
      </c>
    </row>
    <row r="32" spans="2:9" s="31" customFormat="1" ht="15.75" customHeight="1" x14ac:dyDescent="0.25">
      <c r="B32" s="13" t="s">
        <v>87</v>
      </c>
      <c r="C32" s="31" t="s">
        <v>91</v>
      </c>
    </row>
    <row r="33" spans="2:9" s="31" customFormat="1" ht="15.75" customHeight="1" x14ac:dyDescent="0.25">
      <c r="B33" s="13" t="s">
        <v>88</v>
      </c>
      <c r="C33" s="31" t="s">
        <v>92</v>
      </c>
    </row>
    <row r="34" spans="2:9" s="31" customFormat="1" ht="15.75" customHeight="1" x14ac:dyDescent="0.25"/>
    <row r="35" spans="2:9" s="31" customFormat="1" ht="15.75" customHeight="1" x14ac:dyDescent="0.25">
      <c r="B35" s="23" t="s">
        <v>72</v>
      </c>
      <c r="C35" s="24" t="s">
        <v>70</v>
      </c>
      <c r="D35" s="23" t="s">
        <v>30</v>
      </c>
      <c r="E35" s="27" t="s">
        <v>76</v>
      </c>
      <c r="F35" s="23" t="s">
        <v>58</v>
      </c>
      <c r="G35" s="27"/>
      <c r="H35" s="23" t="s">
        <v>9</v>
      </c>
      <c r="I35" s="23" t="s">
        <v>55</v>
      </c>
    </row>
    <row r="36" spans="2:9" s="31" customFormat="1" ht="15.75" customHeight="1" x14ac:dyDescent="0.25"/>
    <row r="37" spans="2:9" s="31" customFormat="1" ht="15.75" customHeight="1" x14ac:dyDescent="0.25">
      <c r="B37" s="13" t="s">
        <v>94</v>
      </c>
      <c r="C37" s="31" t="s">
        <v>97</v>
      </c>
    </row>
    <row r="38" spans="2:9" s="31" customFormat="1" ht="15.75" customHeight="1" x14ac:dyDescent="0.25">
      <c r="B38" s="13" t="s">
        <v>95</v>
      </c>
      <c r="C38" s="31" t="s">
        <v>99</v>
      </c>
    </row>
    <row r="39" spans="2:9" s="31" customFormat="1" ht="15.75" customHeight="1" x14ac:dyDescent="0.25">
      <c r="B39" s="13" t="s">
        <v>96</v>
      </c>
      <c r="C39" s="31" t="s">
        <v>98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5:F15"/>
    <mergeCell ref="C26:F26"/>
    <mergeCell ref="C27:F27"/>
    <mergeCell ref="C19:F19"/>
    <mergeCell ref="C20:F20"/>
    <mergeCell ref="C21:F21"/>
    <mergeCell ref="C25:F25"/>
    <mergeCell ref="C14:F14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25"/>
  <sheetViews>
    <sheetView workbookViewId="0">
      <selection activeCell="C19" sqref="C19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51</v>
      </c>
      <c r="D4" s="16" t="s">
        <v>52</v>
      </c>
      <c r="E4" s="16" t="s">
        <v>53</v>
      </c>
      <c r="F4" s="16" t="s">
        <v>54</v>
      </c>
      <c r="G4" s="17"/>
      <c r="H4" s="16" t="s">
        <v>9</v>
      </c>
      <c r="I4" s="16" t="s">
        <v>59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80</v>
      </c>
      <c r="D6" s="34"/>
      <c r="E6" s="34"/>
      <c r="F6" s="34"/>
      <c r="G6" s="29" t="s">
        <v>61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61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61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66</v>
      </c>
      <c r="D10" s="23" t="s">
        <v>30</v>
      </c>
      <c r="E10" s="23" t="s">
        <v>56</v>
      </c>
      <c r="F10" s="23" t="s">
        <v>57</v>
      </c>
      <c r="G10" s="23"/>
      <c r="H10" s="23" t="s">
        <v>9</v>
      </c>
      <c r="I10" s="23" t="s">
        <v>55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81</v>
      </c>
      <c r="D12" s="33" t="s">
        <v>47</v>
      </c>
      <c r="E12" s="33" t="s">
        <v>47</v>
      </c>
      <c r="F12" s="33" t="s">
        <v>47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82</v>
      </c>
      <c r="D13" s="33" t="s">
        <v>48</v>
      </c>
      <c r="E13" s="33" t="s">
        <v>48</v>
      </c>
      <c r="F13" s="33" t="s">
        <v>48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83</v>
      </c>
      <c r="D14" s="33" t="s">
        <v>49</v>
      </c>
      <c r="E14" s="33" t="s">
        <v>49</v>
      </c>
      <c r="F14" s="33" t="s">
        <v>49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63</v>
      </c>
      <c r="C15" s="33" t="s">
        <v>84</v>
      </c>
      <c r="D15" s="33" t="s">
        <v>50</v>
      </c>
      <c r="E15" s="33" t="s">
        <v>50</v>
      </c>
      <c r="F15" s="33" t="s">
        <v>50</v>
      </c>
      <c r="G15" s="32" t="s">
        <v>43</v>
      </c>
      <c r="I15" s="30">
        <v>5</v>
      </c>
    </row>
    <row r="16" spans="2:9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</sheetData>
  <mergeCells count="7">
    <mergeCell ref="C14:F14"/>
    <mergeCell ref="C15:F15"/>
    <mergeCell ref="C6:F6"/>
    <mergeCell ref="C7:F7"/>
    <mergeCell ref="C8:F8"/>
    <mergeCell ref="C12:F12"/>
    <mergeCell ref="C13:F1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42"/>
  <sheetViews>
    <sheetView workbookViewId="0">
      <selection activeCell="A4" sqref="A4:XFD27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51</v>
      </c>
      <c r="D4" s="16" t="s">
        <v>52</v>
      </c>
      <c r="E4" s="16" t="s">
        <v>53</v>
      </c>
      <c r="F4" s="16" t="s">
        <v>54</v>
      </c>
      <c r="G4" s="17"/>
      <c r="H4" s="16" t="s">
        <v>9</v>
      </c>
      <c r="I4" s="16" t="s">
        <v>59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80</v>
      </c>
      <c r="D6" s="34"/>
      <c r="E6" s="34"/>
      <c r="F6" s="34"/>
      <c r="G6" s="29" t="s">
        <v>61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61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61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66</v>
      </c>
      <c r="D10" s="23" t="s">
        <v>30</v>
      </c>
      <c r="E10" s="23" t="s">
        <v>56</v>
      </c>
      <c r="F10" s="23" t="s">
        <v>57</v>
      </c>
      <c r="G10" s="23"/>
      <c r="H10" s="23" t="s">
        <v>9</v>
      </c>
      <c r="I10" s="23" t="s">
        <v>55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81</v>
      </c>
      <c r="D12" s="33" t="s">
        <v>47</v>
      </c>
      <c r="E12" s="33" t="s">
        <v>47</v>
      </c>
      <c r="F12" s="33" t="s">
        <v>47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82</v>
      </c>
      <c r="D13" s="33" t="s">
        <v>48</v>
      </c>
      <c r="E13" s="33" t="s">
        <v>48</v>
      </c>
      <c r="F13" s="33" t="s">
        <v>48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83</v>
      </c>
      <c r="D14" s="33" t="s">
        <v>49</v>
      </c>
      <c r="E14" s="33" t="s">
        <v>49</v>
      </c>
      <c r="F14" s="33" t="s">
        <v>49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63</v>
      </c>
      <c r="C15" s="33" t="s">
        <v>84</v>
      </c>
      <c r="D15" s="33" t="s">
        <v>50</v>
      </c>
      <c r="E15" s="33" t="s">
        <v>50</v>
      </c>
      <c r="F15" s="33" t="s">
        <v>50</v>
      </c>
      <c r="G15" s="32" t="s">
        <v>43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67</v>
      </c>
      <c r="D17" s="23" t="s">
        <v>30</v>
      </c>
      <c r="E17" s="23" t="s">
        <v>73</v>
      </c>
      <c r="F17" s="23" t="s">
        <v>77</v>
      </c>
      <c r="G17" s="25"/>
      <c r="H17" s="23" t="s">
        <v>9</v>
      </c>
      <c r="I17" s="23" t="s">
        <v>55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89</v>
      </c>
      <c r="D19" s="33" t="s">
        <v>47</v>
      </c>
      <c r="E19" s="33" t="s">
        <v>47</v>
      </c>
      <c r="F19" s="33" t="s">
        <v>47</v>
      </c>
      <c r="G19" s="32" t="s">
        <v>62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90</v>
      </c>
      <c r="D20" s="33" t="s">
        <v>48</v>
      </c>
      <c r="E20" s="33" t="s">
        <v>48</v>
      </c>
      <c r="F20" s="33" t="s">
        <v>48</v>
      </c>
      <c r="G20" s="32" t="s">
        <v>62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85</v>
      </c>
      <c r="D21" s="33" t="s">
        <v>50</v>
      </c>
      <c r="E21" s="33" t="s">
        <v>50</v>
      </c>
      <c r="F21" s="33" t="s">
        <v>50</v>
      </c>
      <c r="G21" s="32" t="s">
        <v>62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68</v>
      </c>
      <c r="D23" s="23" t="s">
        <v>30</v>
      </c>
      <c r="E23" s="23" t="s">
        <v>74</v>
      </c>
      <c r="F23" s="23" t="s">
        <v>78</v>
      </c>
      <c r="G23" s="25"/>
      <c r="H23" s="23" t="s">
        <v>9</v>
      </c>
      <c r="I23" s="23" t="s">
        <v>55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102</v>
      </c>
      <c r="D25" s="33" t="s">
        <v>47</v>
      </c>
      <c r="E25" s="33" t="s">
        <v>47</v>
      </c>
      <c r="F25" s="33" t="s">
        <v>47</v>
      </c>
      <c r="G25" s="32" t="s">
        <v>60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100</v>
      </c>
      <c r="D26" s="33" t="s">
        <v>48</v>
      </c>
      <c r="E26" s="33" t="s">
        <v>48</v>
      </c>
      <c r="F26" s="33" t="s">
        <v>48</v>
      </c>
      <c r="G26" s="32" t="s">
        <v>60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101</v>
      </c>
      <c r="D27" s="33" t="s">
        <v>49</v>
      </c>
      <c r="E27" s="33" t="s">
        <v>49</v>
      </c>
      <c r="F27" s="33" t="s">
        <v>49</v>
      </c>
      <c r="G27" s="32" t="s">
        <v>60</v>
      </c>
      <c r="H27" s="13"/>
      <c r="I27" s="30">
        <v>5</v>
      </c>
    </row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2:F12"/>
    <mergeCell ref="C13:F13"/>
    <mergeCell ref="C14:F14"/>
    <mergeCell ref="C15:F15"/>
    <mergeCell ref="C6:F6"/>
    <mergeCell ref="C7:F7"/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ABAC-B8D2-43CE-8740-4F44B207D4C4}">
  <dimension ref="B1:I953"/>
  <sheetViews>
    <sheetView tabSelected="1" topLeftCell="A11" workbookViewId="0">
      <selection activeCell="C28" sqref="C2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14" customFormat="1" ht="15.75" customHeight="1" x14ac:dyDescent="0.25">
      <c r="B4" s="16" t="s">
        <v>8</v>
      </c>
      <c r="C4" s="16" t="s">
        <v>51</v>
      </c>
      <c r="D4" s="16" t="s">
        <v>52</v>
      </c>
      <c r="E4" s="16" t="s">
        <v>53</v>
      </c>
      <c r="F4" s="16" t="s">
        <v>54</v>
      </c>
      <c r="G4" s="17"/>
      <c r="H4" s="16" t="s">
        <v>9</v>
      </c>
      <c r="I4" s="16" t="s">
        <v>59</v>
      </c>
    </row>
    <row r="5" spans="2:9" s="14" customFormat="1" ht="15.75" customHeight="1" x14ac:dyDescent="0.25">
      <c r="B5" s="13"/>
      <c r="C5" s="28" t="s">
        <v>15</v>
      </c>
      <c r="D5" s="13"/>
      <c r="E5" s="13"/>
      <c r="F5" s="13"/>
      <c r="G5" s="28" t="s">
        <v>16</v>
      </c>
      <c r="H5" s="13"/>
      <c r="I5" s="28" t="s">
        <v>17</v>
      </c>
    </row>
    <row r="6" spans="2:9" s="31" customFormat="1" ht="15.75" customHeight="1" x14ac:dyDescent="0.25">
      <c r="B6" s="13" t="s">
        <v>18</v>
      </c>
      <c r="C6" s="33" t="s">
        <v>80</v>
      </c>
      <c r="D6" s="34"/>
      <c r="E6" s="34"/>
      <c r="F6" s="34"/>
      <c r="G6" s="29" t="s">
        <v>61</v>
      </c>
      <c r="H6" s="13"/>
      <c r="I6" s="30">
        <v>5</v>
      </c>
    </row>
    <row r="7" spans="2:9" s="31" customFormat="1" ht="15.75" customHeight="1" x14ac:dyDescent="0.25">
      <c r="B7" s="13" t="s">
        <v>19</v>
      </c>
      <c r="C7" s="33" t="s">
        <v>45</v>
      </c>
      <c r="D7" s="34"/>
      <c r="E7" s="34"/>
      <c r="F7" s="34"/>
      <c r="G7" s="29" t="s">
        <v>61</v>
      </c>
      <c r="H7" s="13"/>
      <c r="I7" s="30">
        <v>4</v>
      </c>
    </row>
    <row r="8" spans="2:9" s="14" customFormat="1" ht="15.75" customHeight="1" x14ac:dyDescent="0.25">
      <c r="B8" s="13" t="s">
        <v>20</v>
      </c>
      <c r="C8" s="33" t="s">
        <v>44</v>
      </c>
      <c r="D8" s="34"/>
      <c r="E8" s="34"/>
      <c r="F8" s="34"/>
      <c r="G8" s="29" t="s">
        <v>61</v>
      </c>
      <c r="H8" s="13"/>
      <c r="I8" s="30">
        <v>4</v>
      </c>
    </row>
    <row r="9" spans="2:9" s="14" customFormat="1" ht="15.75" customHeight="1" x14ac:dyDescent="0.25">
      <c r="B9" s="13"/>
      <c r="C9" s="13"/>
      <c r="G9" s="32"/>
      <c r="H9" s="13"/>
      <c r="I9" s="30"/>
    </row>
    <row r="10" spans="2:9" s="31" customFormat="1" ht="15.75" customHeight="1" x14ac:dyDescent="0.25">
      <c r="B10" s="23" t="s">
        <v>31</v>
      </c>
      <c r="C10" s="24" t="s">
        <v>66</v>
      </c>
      <c r="D10" s="23" t="s">
        <v>30</v>
      </c>
      <c r="E10" s="23" t="s">
        <v>56</v>
      </c>
      <c r="F10" s="23" t="s">
        <v>57</v>
      </c>
      <c r="G10" s="23"/>
      <c r="H10" s="23" t="s">
        <v>9</v>
      </c>
      <c r="I10" s="23" t="s">
        <v>55</v>
      </c>
    </row>
    <row r="11" spans="2:9" s="31" customFormat="1" ht="15.75" customHeight="1" x14ac:dyDescent="0.25">
      <c r="B11" s="13"/>
      <c r="C11" s="28" t="s">
        <v>15</v>
      </c>
      <c r="D11" s="13"/>
      <c r="E11" s="13"/>
      <c r="F11" s="13"/>
      <c r="G11" s="28" t="s">
        <v>16</v>
      </c>
      <c r="H11" s="13"/>
      <c r="I11" s="28" t="s">
        <v>17</v>
      </c>
    </row>
    <row r="12" spans="2:9" s="31" customFormat="1" ht="15.75" customHeight="1" x14ac:dyDescent="0.25">
      <c r="B12" s="13" t="s">
        <v>34</v>
      </c>
      <c r="C12" s="33" t="s">
        <v>81</v>
      </c>
      <c r="D12" s="33" t="s">
        <v>47</v>
      </c>
      <c r="E12" s="33" t="s">
        <v>47</v>
      </c>
      <c r="F12" s="33" t="s">
        <v>47</v>
      </c>
      <c r="G12" s="32" t="s">
        <v>43</v>
      </c>
      <c r="H12" s="13"/>
      <c r="I12" s="30">
        <v>6</v>
      </c>
    </row>
    <row r="13" spans="2:9" s="31" customFormat="1" ht="15.75" customHeight="1" x14ac:dyDescent="0.25">
      <c r="B13" s="13" t="s">
        <v>35</v>
      </c>
      <c r="C13" s="33" t="s">
        <v>82</v>
      </c>
      <c r="D13" s="33" t="s">
        <v>48</v>
      </c>
      <c r="E13" s="33" t="s">
        <v>48</v>
      </c>
      <c r="F13" s="33" t="s">
        <v>48</v>
      </c>
      <c r="G13" s="32" t="s">
        <v>43</v>
      </c>
      <c r="H13" s="13"/>
      <c r="I13" s="30">
        <v>4</v>
      </c>
    </row>
    <row r="14" spans="2:9" s="31" customFormat="1" ht="15.75" customHeight="1" x14ac:dyDescent="0.25">
      <c r="B14" s="13" t="s">
        <v>36</v>
      </c>
      <c r="C14" s="33" t="s">
        <v>83</v>
      </c>
      <c r="D14" s="33" t="s">
        <v>49</v>
      </c>
      <c r="E14" s="33" t="s">
        <v>49</v>
      </c>
      <c r="F14" s="33" t="s">
        <v>49</v>
      </c>
      <c r="G14" s="32" t="s">
        <v>43</v>
      </c>
      <c r="H14" s="13"/>
      <c r="I14" s="30">
        <v>5</v>
      </c>
    </row>
    <row r="15" spans="2:9" s="31" customFormat="1" ht="15.75" customHeight="1" x14ac:dyDescent="0.25">
      <c r="B15" s="13" t="s">
        <v>63</v>
      </c>
      <c r="C15" s="33" t="s">
        <v>84</v>
      </c>
      <c r="D15" s="33" t="s">
        <v>50</v>
      </c>
      <c r="E15" s="33" t="s">
        <v>50</v>
      </c>
      <c r="F15" s="33" t="s">
        <v>50</v>
      </c>
      <c r="G15" s="32" t="s">
        <v>43</v>
      </c>
      <c r="I15" s="30">
        <v>5</v>
      </c>
    </row>
    <row r="16" spans="2:9" s="31" customFormat="1" ht="15.75" customHeight="1" x14ac:dyDescent="0.25">
      <c r="B16" s="13"/>
      <c r="C16" s="13"/>
      <c r="D16" s="13"/>
      <c r="E16" s="13"/>
      <c r="F16" s="13"/>
    </row>
    <row r="17" spans="2:9" s="31" customFormat="1" ht="15.75" customHeight="1" x14ac:dyDescent="0.25">
      <c r="B17" s="23" t="s">
        <v>32</v>
      </c>
      <c r="C17" s="24" t="s">
        <v>67</v>
      </c>
      <c r="D17" s="23" t="s">
        <v>30</v>
      </c>
      <c r="E17" s="23" t="s">
        <v>73</v>
      </c>
      <c r="F17" s="23" t="s">
        <v>77</v>
      </c>
      <c r="G17" s="25"/>
      <c r="H17" s="23" t="s">
        <v>9</v>
      </c>
      <c r="I17" s="23" t="s">
        <v>55</v>
      </c>
    </row>
    <row r="18" spans="2:9" s="31" customFormat="1" ht="15.75" customHeight="1" x14ac:dyDescent="0.25">
      <c r="B18" s="13"/>
      <c r="C18" s="28" t="s">
        <v>15</v>
      </c>
      <c r="D18" s="13"/>
      <c r="E18" s="13"/>
      <c r="F18" s="13"/>
      <c r="G18" s="28" t="s">
        <v>16</v>
      </c>
      <c r="H18" s="13"/>
      <c r="I18" s="28" t="s">
        <v>17</v>
      </c>
    </row>
    <row r="19" spans="2:9" s="31" customFormat="1" ht="15.75" customHeight="1" x14ac:dyDescent="0.25">
      <c r="B19" s="13" t="s">
        <v>37</v>
      </c>
      <c r="C19" s="33" t="s">
        <v>89</v>
      </c>
      <c r="D19" s="33" t="s">
        <v>47</v>
      </c>
      <c r="E19" s="33" t="s">
        <v>47</v>
      </c>
      <c r="F19" s="33" t="s">
        <v>47</v>
      </c>
      <c r="G19" s="32" t="s">
        <v>62</v>
      </c>
      <c r="H19" s="13"/>
      <c r="I19" s="30">
        <v>4</v>
      </c>
    </row>
    <row r="20" spans="2:9" s="31" customFormat="1" ht="15.75" customHeight="1" x14ac:dyDescent="0.25">
      <c r="B20" s="13" t="s">
        <v>38</v>
      </c>
      <c r="C20" s="33" t="s">
        <v>90</v>
      </c>
      <c r="D20" s="33" t="s">
        <v>48</v>
      </c>
      <c r="E20" s="33" t="s">
        <v>48</v>
      </c>
      <c r="F20" s="33" t="s">
        <v>48</v>
      </c>
      <c r="G20" s="32" t="s">
        <v>62</v>
      </c>
      <c r="H20" s="13"/>
      <c r="I20" s="30">
        <v>4</v>
      </c>
    </row>
    <row r="21" spans="2:9" s="31" customFormat="1" ht="15.75" customHeight="1" x14ac:dyDescent="0.25">
      <c r="B21" s="13" t="s">
        <v>39</v>
      </c>
      <c r="C21" s="33" t="s">
        <v>85</v>
      </c>
      <c r="D21" s="33" t="s">
        <v>50</v>
      </c>
      <c r="E21" s="33" t="s">
        <v>50</v>
      </c>
      <c r="F21" s="33" t="s">
        <v>50</v>
      </c>
      <c r="G21" s="32" t="s">
        <v>62</v>
      </c>
      <c r="H21" s="13"/>
      <c r="I21" s="30">
        <v>3</v>
      </c>
    </row>
    <row r="22" spans="2:9" s="31" customFormat="1" ht="15.75" customHeight="1" x14ac:dyDescent="0.25">
      <c r="B22" s="13"/>
      <c r="C22" s="13"/>
      <c r="D22" s="13"/>
      <c r="E22" s="13"/>
      <c r="F22" s="13"/>
    </row>
    <row r="23" spans="2:9" s="31" customFormat="1" ht="15.75" customHeight="1" x14ac:dyDescent="0.25">
      <c r="B23" s="23" t="s">
        <v>33</v>
      </c>
      <c r="C23" s="24" t="s">
        <v>68</v>
      </c>
      <c r="D23" s="23" t="s">
        <v>30</v>
      </c>
      <c r="E23" s="23" t="s">
        <v>74</v>
      </c>
      <c r="F23" s="23" t="s">
        <v>78</v>
      </c>
      <c r="G23" s="25"/>
      <c r="H23" s="23" t="s">
        <v>9</v>
      </c>
      <c r="I23" s="23" t="s">
        <v>55</v>
      </c>
    </row>
    <row r="24" spans="2:9" s="31" customFormat="1" ht="15.75" customHeight="1" x14ac:dyDescent="0.25">
      <c r="B24" s="13"/>
      <c r="C24" s="28" t="s">
        <v>15</v>
      </c>
      <c r="D24" s="13"/>
      <c r="E24" s="13"/>
      <c r="F24" s="13"/>
      <c r="G24" s="28" t="s">
        <v>16</v>
      </c>
      <c r="H24" s="13"/>
      <c r="I24" s="28" t="s">
        <v>17</v>
      </c>
    </row>
    <row r="25" spans="2:9" s="31" customFormat="1" ht="15.75" customHeight="1" x14ac:dyDescent="0.25">
      <c r="B25" s="13" t="s">
        <v>40</v>
      </c>
      <c r="C25" s="33" t="s">
        <v>102</v>
      </c>
      <c r="D25" s="33" t="s">
        <v>47</v>
      </c>
      <c r="E25" s="33" t="s">
        <v>47</v>
      </c>
      <c r="F25" s="33" t="s">
        <v>47</v>
      </c>
      <c r="G25" s="32" t="s">
        <v>60</v>
      </c>
      <c r="H25" s="13"/>
      <c r="I25" s="30">
        <v>6</v>
      </c>
    </row>
    <row r="26" spans="2:9" s="31" customFormat="1" ht="15.75" customHeight="1" x14ac:dyDescent="0.25">
      <c r="B26" s="13" t="s">
        <v>41</v>
      </c>
      <c r="C26" s="33" t="s">
        <v>100</v>
      </c>
      <c r="D26" s="33" t="s">
        <v>48</v>
      </c>
      <c r="E26" s="33" t="s">
        <v>48</v>
      </c>
      <c r="F26" s="33" t="s">
        <v>48</v>
      </c>
      <c r="G26" s="32" t="s">
        <v>60</v>
      </c>
      <c r="H26" s="13"/>
      <c r="I26" s="30">
        <v>4</v>
      </c>
    </row>
    <row r="27" spans="2:9" s="31" customFormat="1" ht="15.75" customHeight="1" x14ac:dyDescent="0.25">
      <c r="B27" s="13" t="s">
        <v>42</v>
      </c>
      <c r="C27" s="33" t="s">
        <v>101</v>
      </c>
      <c r="D27" s="33" t="s">
        <v>49</v>
      </c>
      <c r="E27" s="33" t="s">
        <v>49</v>
      </c>
      <c r="F27" s="33" t="s">
        <v>49</v>
      </c>
      <c r="G27" s="32" t="s">
        <v>60</v>
      </c>
      <c r="H27" s="13"/>
      <c r="I27" s="30">
        <v>5</v>
      </c>
    </row>
    <row r="28" spans="2:9" s="31" customFormat="1" ht="15.75" customHeight="1" x14ac:dyDescent="0.25">
      <c r="C28" s="36"/>
    </row>
    <row r="29" spans="2:9" s="31" customFormat="1" ht="15.75" customHeight="1" x14ac:dyDescent="0.25">
      <c r="B29" s="23" t="s">
        <v>71</v>
      </c>
      <c r="C29" s="26" t="s">
        <v>69</v>
      </c>
      <c r="D29" s="23" t="s">
        <v>30</v>
      </c>
      <c r="E29" s="23" t="s">
        <v>75</v>
      </c>
      <c r="F29" s="23" t="s">
        <v>79</v>
      </c>
      <c r="G29" s="25"/>
      <c r="H29" s="23" t="s">
        <v>9</v>
      </c>
      <c r="I29" s="23" t="s">
        <v>55</v>
      </c>
    </row>
    <row r="30" spans="2:9" s="31" customFormat="1" ht="15.75" customHeight="1" x14ac:dyDescent="0.25"/>
    <row r="31" spans="2:9" s="31" customFormat="1" ht="15.75" customHeight="1" x14ac:dyDescent="0.25">
      <c r="B31" s="13" t="s">
        <v>86</v>
      </c>
      <c r="C31" s="31" t="s">
        <v>93</v>
      </c>
    </row>
    <row r="32" spans="2:9" s="31" customFormat="1" ht="15.75" customHeight="1" x14ac:dyDescent="0.25">
      <c r="B32" s="13" t="s">
        <v>87</v>
      </c>
      <c r="C32" s="31" t="s">
        <v>91</v>
      </c>
    </row>
    <row r="33" spans="2:9" s="31" customFormat="1" ht="15.75" customHeight="1" x14ac:dyDescent="0.25">
      <c r="B33" s="13" t="s">
        <v>88</v>
      </c>
      <c r="C33" s="31" t="s">
        <v>92</v>
      </c>
    </row>
    <row r="34" spans="2:9" s="31" customFormat="1" ht="15.75" customHeight="1" x14ac:dyDescent="0.25"/>
    <row r="35" spans="2:9" s="31" customFormat="1" ht="15.75" customHeight="1" x14ac:dyDescent="0.25">
      <c r="B35" s="23" t="s">
        <v>72</v>
      </c>
      <c r="C35" s="24" t="s">
        <v>70</v>
      </c>
      <c r="D35" s="23" t="s">
        <v>30</v>
      </c>
      <c r="E35" s="27" t="s">
        <v>76</v>
      </c>
      <c r="F35" s="23" t="s">
        <v>58</v>
      </c>
      <c r="G35" s="27"/>
      <c r="H35" s="23" t="s">
        <v>9</v>
      </c>
      <c r="I35" s="23" t="s">
        <v>55</v>
      </c>
    </row>
    <row r="36" spans="2:9" s="31" customFormat="1" ht="15.75" customHeight="1" x14ac:dyDescent="0.25"/>
    <row r="37" spans="2:9" s="31" customFormat="1" ht="15.75" customHeight="1" x14ac:dyDescent="0.25">
      <c r="B37" s="13" t="s">
        <v>94</v>
      </c>
      <c r="C37" s="31" t="s">
        <v>97</v>
      </c>
    </row>
    <row r="38" spans="2:9" s="31" customFormat="1" ht="15.75" customHeight="1" x14ac:dyDescent="0.25">
      <c r="B38" s="13" t="s">
        <v>95</v>
      </c>
      <c r="C38" s="31" t="s">
        <v>99</v>
      </c>
    </row>
    <row r="39" spans="2:9" s="31" customFormat="1" ht="15.75" customHeight="1" x14ac:dyDescent="0.25">
      <c r="B39" s="13" t="s">
        <v>96</v>
      </c>
      <c r="C39" s="31" t="s">
        <v>98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27:F27"/>
    <mergeCell ref="C14:F14"/>
    <mergeCell ref="C15:F15"/>
    <mergeCell ref="C20:F20"/>
    <mergeCell ref="C21:F21"/>
    <mergeCell ref="C26:F26"/>
    <mergeCell ref="C19:F19"/>
    <mergeCell ref="C25:F25"/>
    <mergeCell ref="C13:F13"/>
    <mergeCell ref="C6:F6"/>
    <mergeCell ref="C7:F7"/>
    <mergeCell ref="C8:F8"/>
    <mergeCell ref="C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6"/>
  <sheetViews>
    <sheetView topLeftCell="A85" zoomScale="70" zoomScaleNormal="70" workbookViewId="0">
      <selection activeCell="D104" sqref="D104:H104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31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32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35" t="s">
        <v>29</v>
      </c>
      <c r="C16" s="35"/>
      <c r="D16" s="35"/>
      <c r="E16" s="35"/>
      <c r="F16" s="35"/>
      <c r="G16" s="35"/>
    </row>
    <row r="17" spans="2:9" ht="15.75" customHeight="1" x14ac:dyDescent="0.25">
      <c r="B17" s="35"/>
      <c r="C17" s="35"/>
      <c r="D17" s="35"/>
      <c r="E17" s="35"/>
      <c r="F17" s="35"/>
      <c r="G17" s="35"/>
    </row>
    <row r="18" spans="2:9" ht="15.75" customHeight="1" x14ac:dyDescent="0.25">
      <c r="B18" s="35"/>
      <c r="C18" s="35"/>
      <c r="D18" s="35"/>
      <c r="E18" s="35"/>
      <c r="F18" s="35"/>
      <c r="G18" s="35"/>
    </row>
    <row r="19" spans="2:9" ht="15.75" customHeight="1" x14ac:dyDescent="0.25">
      <c r="B19" s="35"/>
      <c r="C19" s="35"/>
      <c r="D19" s="35"/>
      <c r="E19" s="35"/>
      <c r="F19" s="35"/>
      <c r="G19" s="35"/>
    </row>
    <row r="20" spans="2:9" ht="15.75" customHeight="1" x14ac:dyDescent="0.25">
      <c r="B20" s="35"/>
      <c r="C20" s="35"/>
      <c r="D20" s="35"/>
      <c r="E20" s="35"/>
      <c r="F20" s="35"/>
      <c r="G20" s="35"/>
    </row>
    <row r="21" spans="2:9" ht="15.75" customHeight="1" x14ac:dyDescent="0.25">
      <c r="B21" s="35"/>
      <c r="C21" s="35"/>
      <c r="D21" s="35"/>
      <c r="E21" s="35"/>
      <c r="F21" s="35"/>
      <c r="G21" s="35"/>
    </row>
    <row r="22" spans="2:9" ht="15.75" customHeight="1" x14ac:dyDescent="0.25">
      <c r="B22" s="35"/>
      <c r="C22" s="35"/>
      <c r="D22" s="35"/>
      <c r="E22" s="35"/>
      <c r="F22" s="35"/>
      <c r="G22" s="35"/>
    </row>
    <row r="23" spans="2:9" ht="15.75" customHeight="1" x14ac:dyDescent="0.25">
      <c r="B23" s="35"/>
      <c r="C23" s="35"/>
      <c r="D23" s="35"/>
      <c r="E23" s="35"/>
      <c r="F23" s="35"/>
      <c r="G23" s="35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34</v>
      </c>
      <c r="C33" s="5">
        <v>5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6">
        <f>SUM(D33:H33)</f>
        <v>5</v>
      </c>
    </row>
    <row r="34" spans="2:9" ht="15.75" customHeight="1" x14ac:dyDescent="0.25">
      <c r="B34" s="2" t="s">
        <v>35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36</v>
      </c>
      <c r="C35" s="5">
        <v>4</v>
      </c>
      <c r="D35" s="4">
        <v>1</v>
      </c>
      <c r="E35" s="4">
        <v>2</v>
      </c>
      <c r="F35" s="4">
        <v>1</v>
      </c>
      <c r="G35" s="4">
        <v>0</v>
      </c>
      <c r="H35" s="4">
        <v>0</v>
      </c>
      <c r="I35" s="6">
        <f>SUM(D35:H35)</f>
        <v>4</v>
      </c>
    </row>
    <row r="36" spans="2:9" ht="15.75" customHeight="1" x14ac:dyDescent="0.25">
      <c r="B36" s="2" t="s">
        <v>63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8"/>
      <c r="C38" s="3"/>
      <c r="D38" s="3"/>
      <c r="E38" s="3"/>
      <c r="F38" s="3"/>
      <c r="G38" s="3"/>
      <c r="H38" s="3"/>
    </row>
    <row r="39" spans="2:9" ht="15.75" customHeight="1" x14ac:dyDescent="0.25"/>
    <row r="40" spans="2:9" ht="15.75" customHeight="1" x14ac:dyDescent="0.25">
      <c r="B40" s="7" t="s">
        <v>27</v>
      </c>
      <c r="C40" s="3">
        <f>SUM(C33:C36)</f>
        <v>18</v>
      </c>
      <c r="D40" s="3">
        <f>C40-SUM(D33:D36)</f>
        <v>14</v>
      </c>
      <c r="E40" s="3">
        <f t="shared" ref="E40:H40" si="0">D40-SUM(E33:E36)</f>
        <v>8</v>
      </c>
      <c r="F40" s="3">
        <f t="shared" si="0"/>
        <v>3</v>
      </c>
      <c r="G40" s="3">
        <f t="shared" si="0"/>
        <v>1</v>
      </c>
      <c r="H40" s="3">
        <f t="shared" si="0"/>
        <v>0</v>
      </c>
    </row>
    <row r="41" spans="2:9" ht="15.75" customHeight="1" x14ac:dyDescent="0.25">
      <c r="B41" s="7" t="s">
        <v>28</v>
      </c>
      <c r="C41" s="3">
        <f>SUM(C33:C36)</f>
        <v>18</v>
      </c>
      <c r="D41" s="3">
        <f>C41-(SUM(C33:C36)/5)</f>
        <v>14.4</v>
      </c>
      <c r="E41" s="3">
        <f t="shared" ref="E41:H41" si="1">D41-(SUM(D33:D36)/5)</f>
        <v>13.6</v>
      </c>
      <c r="F41" s="3">
        <f t="shared" si="1"/>
        <v>12.4</v>
      </c>
      <c r="G41" s="3">
        <f t="shared" si="1"/>
        <v>11.4</v>
      </c>
      <c r="H41" s="3">
        <f t="shared" si="1"/>
        <v>11</v>
      </c>
    </row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>
      <c r="B45" s="35" t="s">
        <v>29</v>
      </c>
      <c r="C45" s="35"/>
      <c r="D45" s="35"/>
      <c r="E45" s="35"/>
      <c r="F45" s="35"/>
      <c r="G45" s="35"/>
    </row>
    <row r="46" spans="2:9" ht="15.75" customHeight="1" x14ac:dyDescent="0.25">
      <c r="B46" s="35"/>
      <c r="C46" s="35"/>
      <c r="D46" s="35"/>
      <c r="E46" s="35"/>
      <c r="F46" s="35"/>
      <c r="G46" s="35"/>
    </row>
    <row r="47" spans="2:9" ht="15.75" customHeight="1" x14ac:dyDescent="0.25">
      <c r="B47" s="35"/>
      <c r="C47" s="35"/>
      <c r="D47" s="35"/>
      <c r="E47" s="35"/>
      <c r="F47" s="35"/>
      <c r="G47" s="35"/>
    </row>
    <row r="48" spans="2:9" ht="15.75" customHeight="1" x14ac:dyDescent="0.25">
      <c r="B48" s="35"/>
      <c r="C48" s="35"/>
      <c r="D48" s="35"/>
      <c r="E48" s="35"/>
      <c r="F48" s="35"/>
      <c r="G48" s="35"/>
    </row>
    <row r="49" spans="2:9" ht="15.75" customHeight="1" x14ac:dyDescent="0.25">
      <c r="B49" s="35"/>
      <c r="C49" s="35"/>
      <c r="D49" s="35"/>
      <c r="E49" s="35"/>
      <c r="F49" s="35"/>
      <c r="G49" s="35"/>
    </row>
    <row r="50" spans="2:9" ht="15.75" customHeight="1" x14ac:dyDescent="0.25">
      <c r="B50" s="35"/>
      <c r="C50" s="35"/>
      <c r="D50" s="35"/>
      <c r="E50" s="35"/>
      <c r="F50" s="35"/>
      <c r="G50" s="35"/>
    </row>
    <row r="51" spans="2:9" ht="15.75" customHeight="1" x14ac:dyDescent="0.25">
      <c r="B51" s="35"/>
      <c r="C51" s="35"/>
      <c r="D51" s="35"/>
      <c r="E51" s="35"/>
      <c r="F51" s="35"/>
      <c r="G51" s="35"/>
    </row>
    <row r="52" spans="2:9" ht="15.75" customHeight="1" x14ac:dyDescent="0.25">
      <c r="B52" s="35"/>
      <c r="C52" s="35"/>
      <c r="D52" s="35"/>
      <c r="E52" s="35"/>
      <c r="F52" s="35"/>
      <c r="G52" s="35"/>
    </row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>
      <c r="B63" s="3"/>
      <c r="C63" s="3" t="s">
        <v>17</v>
      </c>
      <c r="D63" s="3" t="s">
        <v>21</v>
      </c>
      <c r="E63" s="3" t="s">
        <v>22</v>
      </c>
      <c r="F63" s="3" t="s">
        <v>23</v>
      </c>
      <c r="G63" s="3" t="s">
        <v>24</v>
      </c>
      <c r="H63" s="3" t="s">
        <v>25</v>
      </c>
      <c r="I63" s="3" t="s">
        <v>26</v>
      </c>
    </row>
    <row r="64" spans="2:9" ht="15.75" customHeight="1" x14ac:dyDescent="0.25">
      <c r="B64" s="2" t="s">
        <v>37</v>
      </c>
      <c r="C64" s="5">
        <v>6</v>
      </c>
      <c r="D64" s="4">
        <v>2</v>
      </c>
      <c r="E64" s="4">
        <v>2</v>
      </c>
      <c r="F64" s="4">
        <v>1</v>
      </c>
      <c r="G64" s="4">
        <v>1</v>
      </c>
      <c r="H64" s="4">
        <v>0</v>
      </c>
      <c r="I64" s="6">
        <f>SUM(D64:H64)</f>
        <v>6</v>
      </c>
    </row>
    <row r="65" spans="2:9" ht="15.75" customHeight="1" x14ac:dyDescent="0.25">
      <c r="B65" s="2" t="s">
        <v>38</v>
      </c>
      <c r="C65" s="5">
        <v>4</v>
      </c>
      <c r="D65" s="4">
        <v>1</v>
      </c>
      <c r="E65" s="4">
        <v>1</v>
      </c>
      <c r="F65" s="4">
        <v>1</v>
      </c>
      <c r="G65" s="4">
        <v>0</v>
      </c>
      <c r="H65" s="4">
        <v>1</v>
      </c>
      <c r="I65" s="6">
        <f>SUM(D65:H65)</f>
        <v>4</v>
      </c>
    </row>
    <row r="66" spans="2:9" ht="15.75" customHeight="1" x14ac:dyDescent="0.25">
      <c r="B66" s="2" t="s">
        <v>39</v>
      </c>
      <c r="C66" s="5">
        <v>5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6">
        <f>SUM(D66:H66)</f>
        <v>5</v>
      </c>
    </row>
    <row r="67" spans="2:9" ht="15.75" customHeight="1" x14ac:dyDescent="0.25">
      <c r="B67" s="2" t="s">
        <v>46</v>
      </c>
      <c r="C67" s="5">
        <v>5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6">
        <f>SUM(D67:H67)</f>
        <v>5</v>
      </c>
    </row>
    <row r="68" spans="2:9" ht="15.75" customHeight="1" x14ac:dyDescent="0.25"/>
    <row r="69" spans="2:9" ht="15.75" customHeight="1" x14ac:dyDescent="0.25">
      <c r="B69" s="8"/>
      <c r="C69" s="3"/>
      <c r="D69" s="3"/>
      <c r="E69" s="3"/>
      <c r="F69" s="3"/>
      <c r="G69" s="3"/>
      <c r="H69" s="3"/>
    </row>
    <row r="70" spans="2:9" ht="15.75" customHeight="1" x14ac:dyDescent="0.25"/>
    <row r="71" spans="2:9" ht="15.75" customHeight="1" x14ac:dyDescent="0.25">
      <c r="B71" s="7" t="s">
        <v>27</v>
      </c>
      <c r="C71" s="3">
        <f>SUM(C64:C67)</f>
        <v>20</v>
      </c>
      <c r="D71" s="3">
        <f>C71-SUM(D64:D67)</f>
        <v>15</v>
      </c>
      <c r="E71" s="3">
        <f t="shared" ref="E71:H71" si="2">D71-SUM(E64:E67)</f>
        <v>10</v>
      </c>
      <c r="F71" s="3">
        <f t="shared" si="2"/>
        <v>6</v>
      </c>
      <c r="G71" s="3">
        <f t="shared" si="2"/>
        <v>3</v>
      </c>
      <c r="H71" s="3">
        <f t="shared" si="2"/>
        <v>0</v>
      </c>
    </row>
    <row r="72" spans="2:9" ht="15.75" customHeight="1" x14ac:dyDescent="0.25">
      <c r="B72" s="7" t="s">
        <v>28</v>
      </c>
      <c r="C72" s="3">
        <f>SUM(C64:C67)</f>
        <v>20</v>
      </c>
      <c r="D72" s="3">
        <f>C72-(SUM(C64:C67)/5)</f>
        <v>16</v>
      </c>
      <c r="E72" s="3">
        <f t="shared" ref="E72:H72" si="3">D72-(SUM(D64:D67)/5)</f>
        <v>15</v>
      </c>
      <c r="F72" s="3">
        <f t="shared" si="3"/>
        <v>14</v>
      </c>
      <c r="G72" s="3">
        <f t="shared" si="3"/>
        <v>13.2</v>
      </c>
      <c r="H72" s="3">
        <f t="shared" si="3"/>
        <v>12.6</v>
      </c>
    </row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>
      <c r="B76" s="35" t="s">
        <v>29</v>
      </c>
      <c r="C76" s="35"/>
      <c r="D76" s="35"/>
      <c r="E76" s="35"/>
      <c r="F76" s="35"/>
      <c r="G76" s="35"/>
    </row>
    <row r="77" spans="2:9" ht="15.75" customHeight="1" x14ac:dyDescent="0.25">
      <c r="B77" s="35"/>
      <c r="C77" s="35"/>
      <c r="D77" s="35"/>
      <c r="E77" s="35"/>
      <c r="F77" s="35"/>
      <c r="G77" s="35"/>
    </row>
    <row r="78" spans="2:9" ht="15.75" customHeight="1" x14ac:dyDescent="0.25">
      <c r="B78" s="35"/>
      <c r="C78" s="35"/>
      <c r="D78" s="35"/>
      <c r="E78" s="35"/>
      <c r="F78" s="35"/>
      <c r="G78" s="35"/>
    </row>
    <row r="79" spans="2:9" ht="15.75" customHeight="1" x14ac:dyDescent="0.25">
      <c r="B79" s="35"/>
      <c r="C79" s="35"/>
      <c r="D79" s="35"/>
      <c r="E79" s="35"/>
      <c r="F79" s="35"/>
      <c r="G79" s="35"/>
    </row>
    <row r="80" spans="2:9" ht="15.75" customHeight="1" x14ac:dyDescent="0.25">
      <c r="B80" s="35"/>
      <c r="C80" s="35"/>
      <c r="D80" s="35"/>
      <c r="E80" s="35"/>
      <c r="F80" s="35"/>
      <c r="G80" s="35"/>
    </row>
    <row r="81" spans="2:9" ht="15.75" customHeight="1" x14ac:dyDescent="0.25">
      <c r="B81" s="35"/>
      <c r="C81" s="35"/>
      <c r="D81" s="35"/>
      <c r="E81" s="35"/>
      <c r="F81" s="35"/>
      <c r="G81" s="35"/>
    </row>
    <row r="82" spans="2:9" ht="15.75" customHeight="1" x14ac:dyDescent="0.25">
      <c r="B82" s="35"/>
      <c r="C82" s="35"/>
      <c r="D82" s="35"/>
      <c r="E82" s="35"/>
      <c r="F82" s="35"/>
      <c r="G82" s="35"/>
    </row>
    <row r="83" spans="2:9" ht="15.75" customHeight="1" x14ac:dyDescent="0.25">
      <c r="B83" s="35"/>
      <c r="C83" s="35"/>
      <c r="D83" s="35"/>
      <c r="E83" s="35"/>
      <c r="F83" s="35"/>
      <c r="G83" s="35"/>
    </row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>
      <c r="B95" s="3"/>
      <c r="C95" s="3" t="s">
        <v>17</v>
      </c>
      <c r="D95" s="3" t="s">
        <v>21</v>
      </c>
      <c r="E95" s="3" t="s">
        <v>22</v>
      </c>
      <c r="F95" s="3" t="s">
        <v>23</v>
      </c>
      <c r="G95" s="3" t="s">
        <v>24</v>
      </c>
      <c r="H95" s="3" t="s">
        <v>25</v>
      </c>
      <c r="I95" s="3" t="s">
        <v>26</v>
      </c>
    </row>
    <row r="96" spans="2:9" ht="15.75" customHeight="1" x14ac:dyDescent="0.25">
      <c r="B96" s="2" t="s">
        <v>40</v>
      </c>
      <c r="C96" s="5">
        <v>5</v>
      </c>
      <c r="D96" s="4">
        <v>1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5</v>
      </c>
    </row>
    <row r="97" spans="2:9" ht="15.75" customHeight="1" x14ac:dyDescent="0.25">
      <c r="B97" s="2" t="s">
        <v>41</v>
      </c>
      <c r="C97" s="5">
        <v>4</v>
      </c>
      <c r="D97" s="4">
        <v>1</v>
      </c>
      <c r="E97" s="4">
        <v>1</v>
      </c>
      <c r="F97" s="4">
        <v>1</v>
      </c>
      <c r="G97" s="4">
        <v>1</v>
      </c>
      <c r="H97" s="4">
        <v>0</v>
      </c>
      <c r="I97" s="6">
        <f>SUM(D97:H97)</f>
        <v>4</v>
      </c>
    </row>
    <row r="98" spans="2:9" ht="15.75" customHeight="1" x14ac:dyDescent="0.25">
      <c r="B98" s="2" t="s">
        <v>42</v>
      </c>
      <c r="C98" s="5">
        <v>6</v>
      </c>
      <c r="D98" s="4">
        <v>2</v>
      </c>
      <c r="E98" s="4">
        <v>1</v>
      </c>
      <c r="F98" s="4">
        <v>1</v>
      </c>
      <c r="G98" s="4">
        <v>1</v>
      </c>
      <c r="H98" s="4">
        <v>1</v>
      </c>
      <c r="I98" s="6">
        <f>SUM(D98:H98)</f>
        <v>6</v>
      </c>
    </row>
    <row r="99" spans="2:9" ht="15.75" customHeight="1" x14ac:dyDescent="0.25">
      <c r="B99" s="2" t="s">
        <v>64</v>
      </c>
      <c r="C99" s="5">
        <v>6</v>
      </c>
      <c r="D99" s="4">
        <v>2</v>
      </c>
      <c r="E99" s="4">
        <v>1</v>
      </c>
      <c r="F99" s="4">
        <v>1</v>
      </c>
      <c r="G99" s="4">
        <v>1</v>
      </c>
      <c r="H99" s="4">
        <v>1</v>
      </c>
      <c r="I99" s="6">
        <f>SUM(D99:H99)</f>
        <v>6</v>
      </c>
    </row>
    <row r="100" spans="2:9" ht="15.75" customHeight="1" x14ac:dyDescent="0.25"/>
    <row r="101" spans="2:9" ht="15.75" customHeight="1" x14ac:dyDescent="0.25">
      <c r="B101" s="8"/>
      <c r="C101" s="3"/>
      <c r="D101" s="3"/>
      <c r="E101" s="3"/>
      <c r="F101" s="3"/>
      <c r="G101" s="3"/>
      <c r="H101" s="3"/>
    </row>
    <row r="102" spans="2:9" ht="15.75" customHeight="1" x14ac:dyDescent="0.25"/>
    <row r="103" spans="2:9" ht="15.75" customHeight="1" x14ac:dyDescent="0.25">
      <c r="B103" s="7" t="s">
        <v>27</v>
      </c>
      <c r="C103" s="3">
        <f>SUM(C96:C99)</f>
        <v>21</v>
      </c>
      <c r="D103" s="3">
        <f>C103-SUM(D96:D99)</f>
        <v>15</v>
      </c>
      <c r="E103" s="3">
        <f t="shared" ref="E103:H103" si="4">D103-SUM(E96:E99)</f>
        <v>11</v>
      </c>
      <c r="F103" s="3">
        <f t="shared" si="4"/>
        <v>7</v>
      </c>
      <c r="G103" s="3">
        <f t="shared" si="4"/>
        <v>3</v>
      </c>
      <c r="H103" s="3">
        <f t="shared" si="4"/>
        <v>0</v>
      </c>
    </row>
    <row r="104" spans="2:9" ht="15.75" customHeight="1" x14ac:dyDescent="0.25">
      <c r="B104" s="7" t="s">
        <v>28</v>
      </c>
      <c r="C104" s="3">
        <f>SUM(C96:C99)</f>
        <v>21</v>
      </c>
      <c r="D104" s="3">
        <f>C104-(SUM(C96:C99)/5)</f>
        <v>16.8</v>
      </c>
      <c r="E104" s="3">
        <f t="shared" ref="E104:H104" si="5">D104-(SUM(D96:D99)/5)</f>
        <v>15.600000000000001</v>
      </c>
      <c r="F104" s="3">
        <f t="shared" si="5"/>
        <v>14.8</v>
      </c>
      <c r="G104" s="3">
        <f t="shared" si="5"/>
        <v>14</v>
      </c>
      <c r="H104" s="3">
        <f t="shared" si="5"/>
        <v>13.2</v>
      </c>
    </row>
    <row r="105" spans="2:9" ht="15.75" customHeight="1" x14ac:dyDescent="0.25"/>
    <row r="106" spans="2:9" ht="15.75" customHeight="1" x14ac:dyDescent="0.25"/>
    <row r="107" spans="2:9" ht="15.75" customHeight="1" x14ac:dyDescent="0.25"/>
    <row r="108" spans="2:9" ht="15.75" customHeight="1" x14ac:dyDescent="0.25">
      <c r="B108" s="35" t="s">
        <v>29</v>
      </c>
      <c r="C108" s="35"/>
      <c r="D108" s="35"/>
      <c r="E108" s="35"/>
      <c r="F108" s="35"/>
      <c r="G108" s="35"/>
    </row>
    <row r="109" spans="2:9" ht="15.75" customHeight="1" x14ac:dyDescent="0.25">
      <c r="B109" s="35"/>
      <c r="C109" s="35"/>
      <c r="D109" s="35"/>
      <c r="E109" s="35"/>
      <c r="F109" s="35"/>
      <c r="G109" s="35"/>
    </row>
    <row r="110" spans="2:9" ht="15.75" customHeight="1" x14ac:dyDescent="0.25">
      <c r="B110" s="35"/>
      <c r="C110" s="35"/>
      <c r="D110" s="35"/>
      <c r="E110" s="35"/>
      <c r="F110" s="35"/>
      <c r="G110" s="35"/>
    </row>
    <row r="111" spans="2:9" ht="15.75" customHeight="1" x14ac:dyDescent="0.25">
      <c r="B111" s="35"/>
      <c r="C111" s="35"/>
      <c r="D111" s="35"/>
      <c r="E111" s="35"/>
      <c r="F111" s="35"/>
      <c r="G111" s="35"/>
    </row>
    <row r="112" spans="2:9" ht="15.75" customHeight="1" x14ac:dyDescent="0.25">
      <c r="B112" s="35"/>
      <c r="C112" s="35"/>
      <c r="D112" s="35"/>
      <c r="E112" s="35"/>
      <c r="F112" s="35"/>
      <c r="G112" s="35"/>
    </row>
    <row r="113" spans="2:7" ht="15.75" customHeight="1" x14ac:dyDescent="0.25">
      <c r="B113" s="35"/>
      <c r="C113" s="35"/>
      <c r="D113" s="35"/>
      <c r="E113" s="35"/>
      <c r="F113" s="35"/>
      <c r="G113" s="35"/>
    </row>
    <row r="114" spans="2:7" ht="15.75" customHeight="1" x14ac:dyDescent="0.25">
      <c r="B114" s="35"/>
      <c r="C114" s="35"/>
      <c r="D114" s="35"/>
      <c r="E114" s="35"/>
      <c r="F114" s="35"/>
      <c r="G114" s="35"/>
    </row>
    <row r="115" spans="2:7" ht="15.75" customHeight="1" x14ac:dyDescent="0.25">
      <c r="B115" s="35"/>
      <c r="C115" s="35"/>
      <c r="D115" s="35"/>
      <c r="E115" s="35"/>
      <c r="F115" s="35"/>
      <c r="G115" s="35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/>
    <row r="120" spans="2:7" ht="15.75" customHeight="1" x14ac:dyDescent="0.25"/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4">
    <mergeCell ref="B108:G115"/>
    <mergeCell ref="B16:G23"/>
    <mergeCell ref="B45:G52"/>
    <mergeCell ref="B76:G83"/>
  </mergeCells>
  <phoneticPr fontId="4" type="noConversion"/>
  <pageMargins left="0.7" right="0.7" top="0.75" bottom="0.75" header="0" footer="0"/>
  <pageSetup orientation="landscape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Backlog</vt:lpstr>
      <vt:lpstr>sprint0</vt:lpstr>
      <vt:lpstr>sprint1</vt:lpstr>
      <vt:lpstr>sprint2</vt:lpstr>
      <vt:lpstr>sprint3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2025-11-28T00:32:39Z</dcterms:modified>
</cp:coreProperties>
</file>