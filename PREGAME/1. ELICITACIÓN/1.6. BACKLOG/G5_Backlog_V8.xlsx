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a1e79e0bd8ceb01f/Escritorio/KEVIN/UNIVERSIDAD ESPE/6 SEMESTRE/PROGRAACION/"/>
    </mc:Choice>
  </mc:AlternateContent>
  <xr:revisionPtr revIDLastSave="0" documentId="8_{D52CBE0F-EB8F-48DE-ABDE-B978E14016A9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sprint0" sheetId="2" r:id="rId1"/>
    <sheet name="Backlog" sheetId="1" r:id="rId2"/>
    <sheet name="sprint1" sheetId="4" r:id="rId3"/>
    <sheet name="sprint2" sheetId="5" r:id="rId4"/>
    <sheet name="sprint3" sheetId="6" r:id="rId5"/>
    <sheet name="sprint4" sheetId="7" r:id="rId6"/>
    <sheet name="burdonchart" sheetId="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umbVZyOcx52yre52oR6StKY4AhwVaEfQZSgxcWGFbfY="/>
    </ext>
  </extLst>
</workbook>
</file>

<file path=xl/calcChain.xml><?xml version="1.0" encoding="utf-8"?>
<calcChain xmlns="http://schemas.openxmlformats.org/spreadsheetml/2006/main">
  <c r="C328" i="3" l="1"/>
  <c r="D328" i="3" s="1"/>
  <c r="E328" i="3" s="1"/>
  <c r="F328" i="3" s="1"/>
  <c r="G328" i="3" s="1"/>
  <c r="H328" i="3" s="1"/>
  <c r="C327" i="3"/>
  <c r="D327" i="3" s="1"/>
  <c r="E327" i="3" s="1"/>
  <c r="F327" i="3" s="1"/>
  <c r="G327" i="3" s="1"/>
  <c r="H327" i="3" s="1"/>
  <c r="I322" i="3"/>
  <c r="I321" i="3"/>
  <c r="I320" i="3"/>
  <c r="C303" i="3"/>
  <c r="D303" i="3" s="1"/>
  <c r="E303" i="3" s="1"/>
  <c r="F303" i="3" s="1"/>
  <c r="G303" i="3" s="1"/>
  <c r="H303" i="3" s="1"/>
  <c r="C302" i="3"/>
  <c r="D302" i="3" s="1"/>
  <c r="E302" i="3" s="1"/>
  <c r="F302" i="3" s="1"/>
  <c r="G302" i="3" s="1"/>
  <c r="H302" i="3" s="1"/>
  <c r="I297" i="3"/>
  <c r="I296" i="3"/>
  <c r="I295" i="3"/>
  <c r="C278" i="3"/>
  <c r="D278" i="3" s="1"/>
  <c r="E278" i="3" s="1"/>
  <c r="F278" i="3" s="1"/>
  <c r="G278" i="3" s="1"/>
  <c r="H278" i="3" s="1"/>
  <c r="C277" i="3"/>
  <c r="D277" i="3" s="1"/>
  <c r="E277" i="3" s="1"/>
  <c r="F277" i="3" s="1"/>
  <c r="G277" i="3" s="1"/>
  <c r="H277" i="3" s="1"/>
  <c r="I272" i="3"/>
  <c r="I271" i="3"/>
  <c r="I270" i="3"/>
  <c r="C252" i="3"/>
  <c r="D252" i="3" s="1"/>
  <c r="E252" i="3" s="1"/>
  <c r="F252" i="3" s="1"/>
  <c r="G252" i="3" s="1"/>
  <c r="H252" i="3" s="1"/>
  <c r="C251" i="3"/>
  <c r="D251" i="3" s="1"/>
  <c r="E251" i="3" s="1"/>
  <c r="F251" i="3" s="1"/>
  <c r="G251" i="3" s="1"/>
  <c r="H251" i="3" s="1"/>
  <c r="I246" i="3"/>
  <c r="I245" i="3"/>
  <c r="I244" i="3"/>
  <c r="C228" i="3"/>
  <c r="D228" i="3" s="1"/>
  <c r="E228" i="3" s="1"/>
  <c r="F228" i="3" s="1"/>
  <c r="G228" i="3" s="1"/>
  <c r="H228" i="3" s="1"/>
  <c r="C227" i="3"/>
  <c r="D227" i="3" s="1"/>
  <c r="E227" i="3" s="1"/>
  <c r="F227" i="3" s="1"/>
  <c r="G227" i="3" s="1"/>
  <c r="H227" i="3" s="1"/>
  <c r="I222" i="3"/>
  <c r="I221" i="3"/>
  <c r="I220" i="3"/>
  <c r="C202" i="3"/>
  <c r="D202" i="3" s="1"/>
  <c r="E202" i="3" s="1"/>
  <c r="F202" i="3" s="1"/>
  <c r="G202" i="3" s="1"/>
  <c r="H202" i="3" s="1"/>
  <c r="C201" i="3"/>
  <c r="D201" i="3" s="1"/>
  <c r="E201" i="3" s="1"/>
  <c r="F201" i="3" s="1"/>
  <c r="G201" i="3" s="1"/>
  <c r="H201" i="3" s="1"/>
  <c r="I196" i="3"/>
  <c r="I195" i="3"/>
  <c r="I194" i="3"/>
  <c r="C174" i="3"/>
  <c r="D174" i="3" s="1"/>
  <c r="E174" i="3" s="1"/>
  <c r="F174" i="3" s="1"/>
  <c r="G174" i="3" s="1"/>
  <c r="H174" i="3" s="1"/>
  <c r="C173" i="3"/>
  <c r="D173" i="3" s="1"/>
  <c r="E173" i="3" s="1"/>
  <c r="F173" i="3" s="1"/>
  <c r="G173" i="3" s="1"/>
  <c r="H173" i="3" s="1"/>
  <c r="I168" i="3"/>
  <c r="I167" i="3"/>
  <c r="I166" i="3"/>
  <c r="C150" i="3"/>
  <c r="D150" i="3" s="1"/>
  <c r="E150" i="3" s="1"/>
  <c r="F150" i="3" s="1"/>
  <c r="G150" i="3" s="1"/>
  <c r="H150" i="3" s="1"/>
  <c r="C149" i="3"/>
  <c r="D149" i="3" s="1"/>
  <c r="E149" i="3" s="1"/>
  <c r="F149" i="3" s="1"/>
  <c r="G149" i="3" s="1"/>
  <c r="H149" i="3" s="1"/>
  <c r="I144" i="3"/>
  <c r="I143" i="3"/>
  <c r="I142" i="3"/>
  <c r="C126" i="3"/>
  <c r="D126" i="3" s="1"/>
  <c r="E126" i="3" s="1"/>
  <c r="F126" i="3" s="1"/>
  <c r="G126" i="3" s="1"/>
  <c r="H126" i="3" s="1"/>
  <c r="C125" i="3"/>
  <c r="D125" i="3" s="1"/>
  <c r="E125" i="3" s="1"/>
  <c r="F125" i="3" s="1"/>
  <c r="G125" i="3" s="1"/>
  <c r="H125" i="3" s="1"/>
  <c r="I120" i="3"/>
  <c r="I119" i="3"/>
  <c r="I118" i="3"/>
  <c r="C69" i="3"/>
  <c r="D69" i="3" s="1"/>
  <c r="C102" i="3"/>
  <c r="D102" i="3" s="1"/>
  <c r="E102" i="3" s="1"/>
  <c r="F102" i="3" s="1"/>
  <c r="G102" i="3" s="1"/>
  <c r="H102" i="3" s="1"/>
  <c r="C101" i="3"/>
  <c r="D101" i="3" s="1"/>
  <c r="E101" i="3" s="1"/>
  <c r="F101" i="3" s="1"/>
  <c r="G101" i="3" s="1"/>
  <c r="H101" i="3" s="1"/>
  <c r="C70" i="3"/>
  <c r="D70" i="3" s="1"/>
  <c r="E70" i="3" s="1"/>
  <c r="F70" i="3" s="1"/>
  <c r="G70" i="3" s="1"/>
  <c r="H70" i="3" s="1"/>
  <c r="C39" i="3"/>
  <c r="D39" i="3" s="1"/>
  <c r="E39" i="3" s="1"/>
  <c r="F39" i="3" s="1"/>
  <c r="G39" i="3" s="1"/>
  <c r="H39" i="3" s="1"/>
  <c r="C38" i="3"/>
  <c r="D38" i="3" s="1"/>
  <c r="E38" i="3" s="1"/>
  <c r="F38" i="3" s="1"/>
  <c r="G38" i="3" s="1"/>
  <c r="H38" i="3" s="1"/>
  <c r="I36" i="3"/>
  <c r="I34" i="3"/>
  <c r="C12" i="3"/>
  <c r="D12" i="3" s="1"/>
  <c r="E12" i="3" s="1"/>
  <c r="F12" i="3" s="1"/>
  <c r="G12" i="3" s="1"/>
  <c r="H12" i="3" s="1"/>
  <c r="C11" i="3"/>
  <c r="D11" i="3" s="1"/>
  <c r="E11" i="3" s="1"/>
  <c r="F11" i="3" s="1"/>
  <c r="G11" i="3" s="1"/>
  <c r="H11" i="3" s="1"/>
  <c r="I4" i="3"/>
  <c r="I94" i="3"/>
  <c r="I95" i="3"/>
  <c r="I96" i="3"/>
  <c r="I64" i="3"/>
  <c r="I62" i="3"/>
  <c r="I63" i="3"/>
  <c r="E69" i="3" l="1"/>
  <c r="F69" i="3" s="1"/>
  <c r="G69" i="3" s="1"/>
  <c r="H69" i="3" s="1"/>
</calcChain>
</file>

<file path=xl/sharedStrings.xml><?xml version="1.0" encoding="utf-8"?>
<sst xmlns="http://schemas.openxmlformats.org/spreadsheetml/2006/main" count="1350" uniqueCount="172">
  <si>
    <t>t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</si>
  <si>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</si>
  <si>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</si>
  <si>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</si>
  <si>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</si>
  <si>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</si>
  <si>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</si>
  <si>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</si>
  <si>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</si>
  <si>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Alta</t>
  </si>
  <si>
    <t>ID</t>
  </si>
  <si>
    <t>Necesito</t>
  </si>
  <si>
    <t>así podre...</t>
  </si>
  <si>
    <t>Prioridad</t>
  </si>
  <si>
    <t>Status</t>
  </si>
  <si>
    <t>Tareas</t>
  </si>
  <si>
    <t>Asignado</t>
  </si>
  <si>
    <t>Estimado</t>
  </si>
  <si>
    <t>REQ001-1</t>
  </si>
  <si>
    <t>REQ001-2</t>
  </si>
  <si>
    <t>REQ001-3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</si>
  <si>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</si>
  <si>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</si>
  <si>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</si>
  <si>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</si>
  <si>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</si>
  <si>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</si>
  <si>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</si>
  <si>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</si>
  <si>
    <t>Durante el proceso de desarrollo del producto software,CONCLUSION DEL ESFUERZO CALCULADO</t>
  </si>
  <si>
    <t>Administrador</t>
  </si>
  <si>
    <t>REQ002</t>
  </si>
  <si>
    <t>REQ003</t>
  </si>
  <si>
    <t>REQ004</t>
  </si>
  <si>
    <t>REQ002-1</t>
  </si>
  <si>
    <t>REQ002-2</t>
  </si>
  <si>
    <t>REQ002-3</t>
  </si>
  <si>
    <t>REQ003-1</t>
  </si>
  <si>
    <t>REQ003-2</t>
  </si>
  <si>
    <t>REQ003-3</t>
  </si>
  <si>
    <t>REQ004-1</t>
  </si>
  <si>
    <t>REQ004-2</t>
  </si>
  <si>
    <t>REQ004-3</t>
  </si>
  <si>
    <t>K. Cañola</t>
  </si>
  <si>
    <t>Crear una página donde se puedan gestionar los usuarios registrados.</t>
  </si>
  <si>
    <t>Asegurar que solo las personas autorizadas puedan ingresar usando una contraseña.</t>
  </si>
  <si>
    <t>Habilitar la búsqueda rápida de productos mediante su nombre o código.</t>
  </si>
  <si>
    <t>Facilitar la eliminación de productos por nombre o código de identificación.</t>
  </si>
  <si>
    <t>Ofrecer la opción de editar productos utilizando su nombre o código.</t>
  </si>
  <si>
    <t>Incorporar productos nuevos mediante nombre o código de forma eficiente.</t>
  </si>
  <si>
    <t>Ingreso por Credenciales</t>
  </si>
  <si>
    <t>Administrador/Usuario</t>
  </si>
  <si>
    <t>Ingresar al sistema</t>
  </si>
  <si>
    <t xml:space="preserve">Iniciar sesion y distinguir el perfir del usuario </t>
  </si>
  <si>
    <t>No inciado</t>
  </si>
  <si>
    <t>Registro de nuevos clientes</t>
  </si>
  <si>
    <t>Registrar en la base de datos informacion de nuevos clientes</t>
  </si>
  <si>
    <t>Optimizar tiempos de cotizaciones de pedidos</t>
  </si>
  <si>
    <t>M. Lugmaña</t>
  </si>
  <si>
    <t>E. Tasiguano</t>
  </si>
  <si>
    <t>C, Marcalla</t>
  </si>
  <si>
    <t>REQ002-4</t>
  </si>
  <si>
    <t>Inicio de seción</t>
  </si>
  <si>
    <t>Registro de cliente</t>
  </si>
  <si>
    <t>Busqueda de cliente</t>
  </si>
  <si>
    <t>Modificación de cliente</t>
  </si>
  <si>
    <t>Eliminación de cliente</t>
  </si>
  <si>
    <t>Proformas de cotización</t>
  </si>
  <si>
    <t>REQ005</t>
  </si>
  <si>
    <t>REQ006</t>
  </si>
  <si>
    <t>Busqueda de clientes</t>
  </si>
  <si>
    <t>Editar clientes ingresados</t>
  </si>
  <si>
    <t>Eliminación de clientes registrados</t>
  </si>
  <si>
    <t>Generar PDF de cotizaciones</t>
  </si>
  <si>
    <t>Encontrar más rápido información de los clientes.</t>
  </si>
  <si>
    <t>Modificar datos personales del clientes cuando sea necessario.</t>
  </si>
  <si>
    <t>Borrar datos de los clientes definitivamente.</t>
  </si>
  <si>
    <t>Establecer apartado de administrador</t>
  </si>
  <si>
    <t>Crear el formulario de datos personales del cliente.</t>
  </si>
  <si>
    <t>Crear formulario de información adicional</t>
  </si>
  <si>
    <t>Validación de datos</t>
  </si>
  <si>
    <t>Registrar cliente en base de datos</t>
  </si>
  <si>
    <t>Mostrar resultados detallados con acceso rápido al perfil del cliente.</t>
  </si>
  <si>
    <t>REQ005-1</t>
  </si>
  <si>
    <t>REQ005-2</t>
  </si>
  <si>
    <t>REQ005-3</t>
  </si>
  <si>
    <t>Implementar búsqueda de clientes por nombre o apellido.</t>
  </si>
  <si>
    <t>Permitir búsqueda por número de identificación o teléfono.</t>
  </si>
  <si>
    <t>Mostrar una vista previa del cliente seleccionado antes de confirmar su eliminación.</t>
  </si>
  <si>
    <t>Implementar un mecanismo de confirmación doble para evitar eliminaciones accidentales.</t>
  </si>
  <si>
    <t>REQ006-1</t>
  </si>
  <si>
    <t>REQ006-2</t>
  </si>
  <si>
    <t>REQ006-3</t>
  </si>
  <si>
    <t>Permitir crear una nueva proforma seleccionando cliente, productos o servicios, cantidades y precios.</t>
  </si>
  <si>
    <t>Generar una vista previa imprimible o descargable en PDF de la proforma.</t>
  </si>
  <si>
    <t>Registrar y almacenar el historial de proformas emitidas para cada cliente.</t>
  </si>
  <si>
    <t>Implementar validaciones para evitar duplicados o información incompleta durante la modificación.</t>
  </si>
  <si>
    <t>Permitir buscar al cliente a modificar mediante cedula.</t>
  </si>
  <si>
    <t>Habilitar la edición de datos personales como nombres, dirección, email y telefono.</t>
  </si>
  <si>
    <t>Habilitar la búsqueda de clientes por medio de cédula.</t>
  </si>
  <si>
    <t>REQ007</t>
  </si>
  <si>
    <t>REQ008</t>
  </si>
  <si>
    <t>REQ009</t>
  </si>
  <si>
    <t>REQ010</t>
  </si>
  <si>
    <t>REQ011</t>
  </si>
  <si>
    <t>REQ012</t>
  </si>
  <si>
    <t>REQ013</t>
  </si>
  <si>
    <t>Historial de proformas</t>
  </si>
  <si>
    <t>Envío de proformas por correo electrónico</t>
  </si>
  <si>
    <t>Envío del catálogo</t>
  </si>
  <si>
    <t>Registro de producto</t>
  </si>
  <si>
    <t>Búsqueda de producto</t>
  </si>
  <si>
    <t>Modificación de producto</t>
  </si>
  <si>
    <t>Eliminación de producto</t>
  </si>
  <si>
    <t>Administrador / Cliente</t>
  </si>
  <si>
    <t>Terminado</t>
  </si>
  <si>
    <t>Consulta de proformas generadas</t>
  </si>
  <si>
    <t>Permitir visualizar y consultar el historial de proformas realizadas.</t>
  </si>
  <si>
    <t>Envío de proformas</t>
  </si>
  <si>
    <t>Enviar proformas generadas en PDF al correo electrónico del cliente.</t>
  </si>
  <si>
    <t>Registro de nuevos productos</t>
  </si>
  <si>
    <t>Búsqueda de productos</t>
  </si>
  <si>
    <t>Edición de productos registrados</t>
  </si>
  <si>
    <t>Eliminación de productos registrados</t>
  </si>
  <si>
    <t>Envío del catálogo de productos</t>
  </si>
  <si>
    <t>Permitir el envío del catálogo de productos para facilitar la consulta y selección.</t>
  </si>
  <si>
    <t>Registrar productos en la base de datos con su información básica (nombre, precio, stock, categoría, descripción).</t>
  </si>
  <si>
    <t>Buscar productos de forma rápida mediante nombre o código.</t>
  </si>
  <si>
    <t>Actualizar la información de productos existentes (precio, stock, descripción, categoría).</t>
  </si>
  <si>
    <t>Eliminar productos de manera permanente del inventario del sistema.</t>
  </si>
  <si>
    <t>REQ007-1</t>
  </si>
  <si>
    <t>REQ007-2</t>
  </si>
  <si>
    <t>REQ007-3</t>
  </si>
  <si>
    <t>Mostrar listado de proformas con filtros por fecha y cliente.</t>
  </si>
  <si>
    <t>Permitir visualizar el detalle de una proforma seleccionada.</t>
  </si>
  <si>
    <t>Permitir descargar o imprimir nuevamente una proforma en PDF.</t>
  </si>
  <si>
    <t>REQ008-1</t>
  </si>
  <si>
    <t>REQ008-2</t>
  </si>
  <si>
    <t>REQ008-3</t>
  </si>
  <si>
    <t>Configurar el servicio de envío de correos electrónicos (SMTP).</t>
  </si>
  <si>
    <t>Adjuntar automáticamente la proforma en formato PDF al correo.</t>
  </si>
  <si>
    <t>Registrar el envío de la proforma en el historial del sistema.</t>
  </si>
  <si>
    <t>REQ009-1</t>
  </si>
  <si>
    <t>REQ009-2</t>
  </si>
  <si>
    <t>REQ009-3</t>
  </si>
  <si>
    <t>Generar catálogo de productos en formato PDF.</t>
  </si>
  <si>
    <t>Permitir el envío del catálogo por correo electrónico.</t>
  </si>
  <si>
    <t>Actualizar automáticamente el catálogo cuando se modifiquen productos.</t>
  </si>
  <si>
    <t>REQ010-1</t>
  </si>
  <si>
    <t>REQ010-2</t>
  </si>
  <si>
    <t>REQ010-3</t>
  </si>
  <si>
    <t>REQ011-1</t>
  </si>
  <si>
    <t>REQ011-2</t>
  </si>
  <si>
    <t>REQ011-3</t>
  </si>
  <si>
    <t>REQ012-1</t>
  </si>
  <si>
    <t>REQ012-2</t>
  </si>
  <si>
    <t>REQ012-3</t>
  </si>
  <si>
    <t>REQ013-1</t>
  </si>
  <si>
    <t>REQ013-2</t>
  </si>
  <si>
    <t>REQ013-3</t>
  </si>
  <si>
    <t>Crear formulario de registro de productos (nombre, código, precio, stock).</t>
  </si>
  <si>
    <t>Validar campos obligatorios y formatos correctos.</t>
  </si>
  <si>
    <t>Guardar productos en la base de datos.</t>
  </si>
  <si>
    <t>Implementar búsqueda por nombre o código de producto.</t>
  </si>
  <si>
    <t>Mostrar resultados con información básica del producto.</t>
  </si>
  <si>
    <t>Permitir acceso rápido a edición o eliminación del producto.</t>
  </si>
  <si>
    <t>Permitir seleccionar un producto desde la búsqueda.</t>
  </si>
  <si>
    <t>Editar precios, stock y descripción del producto.</t>
  </si>
  <si>
    <t>Validar y guardar cambios en la base de datos.</t>
  </si>
  <si>
    <t>Buscar producto a eliminar por nombre o código.</t>
  </si>
  <si>
    <t>Mostrar confirmación antes de eliminar el producto.</t>
  </si>
  <si>
    <t>Eliminar definitivamente el producto de la base de datos.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</si>
</sst>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sz val="10"/>
      <color theme="1"/>
      <name val="Arial"/>
      <family val="2"/>
    </font>
    <font>
      <sz val="8"/>
      <name val="Arial"/>
      <family val="2"/>
      <scheme val="minor"/>
    </font>
    <font>
      <sz val="10"/>
      <color theme="4" tint="-0.249977111117893"/>
      <name val="Arial"/>
      <family val="2"/>
      <scheme val="minor"/>
    </font>
    <font>
      <b/>
      <sz val="10"/>
      <color rgb="FF002060"/>
      <name val="Arial"/>
      <family val="2"/>
    </font>
    <font>
      <sz val="10"/>
      <color rgb="FF002060"/>
      <name val="Arial"/>
      <family val="2"/>
      <scheme val="minor"/>
    </font>
    <font>
      <sz val="10"/>
      <color rgb="FF002060"/>
      <name val="Arial"/>
      <family val="2"/>
    </font>
    <font>
      <sz val="8"/>
      <name val="Arial"/>
      <family val="2"/>
      <scheme val="minor"/>
    </font>
    <font>
      <sz val="10"/>
      <color rgb="FF0070C0"/>
      <name val="Arial"/>
      <family val="2"/>
      <scheme val="minor"/>
    </font>
    <font>
      <sz val="10"/>
      <color theme="8" tint="-0.249977111117893"/>
      <name val="Arial"/>
      <family val="2"/>
      <scheme val="minor"/>
    </font>
    <font>
      <sz val="10"/>
      <color rgb="FF0070C0"/>
      <name val="Arial"/>
      <family val="2"/>
      <scheme val="minor"/>
    </font>
    <font>
      <sz val="10"/>
      <color rgb="FF002060"/>
      <name val="Arial Narrow"/>
      <family val="2"/>
    </font>
    <font>
      <sz val="10"/>
      <color rgb="FF002060"/>
      <name val="Arial"/>
      <scheme val="minor"/>
    </font>
    <font>
      <sz val="11"/>
      <color rgb="FF002060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8" tint="0.59999389629810485"/>
        <bgColor theme="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0" fontId="3" fillId="4" borderId="1" xfId="0" applyFont="1" applyFill="1" applyBorder="1"/>
    <xf numFmtId="0" fontId="3" fillId="0" borderId="1" xfId="0" applyFont="1" applyBorder="1"/>
    <xf numFmtId="0" fontId="10" fillId="0" borderId="0" xfId="0" applyFont="1"/>
    <xf numFmtId="0" fontId="12" fillId="0" borderId="0" xfId="0" applyFont="1"/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8" fillId="0" borderId="2" xfId="0" applyFont="1" applyBorder="1" applyAlignment="1">
      <alignment horizontal="center"/>
    </xf>
    <xf numFmtId="0" fontId="13" fillId="6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/>
    </xf>
    <xf numFmtId="0" fontId="13" fillId="0" borderId="2" xfId="0" applyFont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/>
    </xf>
    <xf numFmtId="0" fontId="13" fillId="7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4" fillId="5" borderId="2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8" fillId="5" borderId="0" xfId="0" applyFont="1" applyFill="1"/>
    <xf numFmtId="0" fontId="7" fillId="5" borderId="0" xfId="0" applyFont="1" applyFill="1"/>
    <xf numFmtId="0" fontId="8" fillId="0" borderId="0" xfId="0" applyFont="1"/>
    <xf numFmtId="0" fontId="6" fillId="0" borderId="0" xfId="0" applyFont="1"/>
    <xf numFmtId="0" fontId="7" fillId="0" borderId="0" xfId="0" applyFont="1"/>
    <xf numFmtId="0" fontId="1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right"/>
    </xf>
    <xf numFmtId="0" fontId="8" fillId="5" borderId="2" xfId="0" applyFont="1" applyFill="1" applyBorder="1"/>
    <xf numFmtId="0" fontId="15" fillId="0" borderId="0" xfId="0" applyFont="1" applyAlignment="1">
      <alignment horizontal="center" vertical="top"/>
    </xf>
    <xf numFmtId="0" fontId="7" fillId="5" borderId="2" xfId="0" applyFont="1" applyFill="1" applyBorder="1"/>
    <xf numFmtId="0" fontId="7" fillId="5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/>
    </xf>
    <xf numFmtId="0" fontId="14" fillId="0" borderId="0" xfId="0" applyFont="1"/>
    <xf numFmtId="0" fontId="8" fillId="0" borderId="0" xfId="0" applyFont="1"/>
    <xf numFmtId="0" fontId="7" fillId="0" borderId="0" xfId="0" applyFont="1"/>
    <xf numFmtId="0" fontId="5" fillId="0" borderId="0" xfId="0" applyFont="1" applyAlignment="1">
      <alignment horizontal="left" vertical="center" wrapText="1"/>
    </xf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urdonchart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burdonchart!$B$38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burdonchart!$C$38:$H$38</c:f>
              <c:numCache>
                <c:formatCode>General</c:formatCode>
                <c:ptCount val="6"/>
                <c:pt idx="0">
                  <c:v>20</c:v>
                </c:pt>
                <c:pt idx="1">
                  <c:v>16</c:v>
                </c:pt>
                <c:pt idx="2">
                  <c:v>10</c:v>
                </c:pt>
                <c:pt idx="3">
                  <c:v>5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55-4E2E-8A09-71B2DBEE7386}"/>
            </c:ext>
          </c:extLst>
        </c:ser>
        <c:ser>
          <c:idx val="1"/>
          <c:order val="1"/>
          <c:tx>
            <c:strRef>
              <c:f>burdonchart!$B$39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burdonchart!$C$39:$H$39</c:f>
              <c:numCache>
                <c:formatCode>General</c:formatCode>
                <c:ptCount val="6"/>
                <c:pt idx="0">
                  <c:v>20</c:v>
                </c:pt>
                <c:pt idx="1">
                  <c:v>16</c:v>
                </c:pt>
                <c:pt idx="2">
                  <c:v>15.2</c:v>
                </c:pt>
                <c:pt idx="3">
                  <c:v>14</c:v>
                </c:pt>
                <c:pt idx="4">
                  <c:v>13</c:v>
                </c:pt>
                <c:pt idx="5">
                  <c:v>12.2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55-4E2E-8A09-71B2DBEE73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3547519"/>
        <c:axId val="1023548959"/>
      </c:lineChart>
      <c:catAx>
        <c:axId val="10235475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023548959"/>
        <c:crosses val="autoZero"/>
        <c:auto val="1"/>
        <c:lblAlgn val="ctr"/>
        <c:lblOffset val="100"/>
        <c:noMultiLvlLbl val="0"/>
      </c:catAx>
      <c:valAx>
        <c:axId val="1023548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023547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burdonchart!$B$69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burdonchart!$C$69:$H$69</c:f>
              <c:numCache>
                <c:formatCode>General</c:formatCode>
                <c:ptCount val="6"/>
                <c:pt idx="0">
                  <c:v>15</c:v>
                </c:pt>
                <c:pt idx="1">
                  <c:v>11</c:v>
                </c:pt>
                <c:pt idx="2">
                  <c:v>7</c:v>
                </c:pt>
                <c:pt idx="3">
                  <c:v>4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23-412A-959C-F17E1F93D1E2}"/>
            </c:ext>
          </c:extLst>
        </c:ser>
        <c:ser>
          <c:idx val="1"/>
          <c:order val="1"/>
          <c:tx>
            <c:strRef>
              <c:f>burdonchart!$B$70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burdonchart!$C$70:$H$70</c:f>
              <c:numCache>
                <c:formatCode>General</c:formatCode>
                <c:ptCount val="6"/>
                <c:pt idx="0">
                  <c:v>15</c:v>
                </c:pt>
                <c:pt idx="1">
                  <c:v>12</c:v>
                </c:pt>
                <c:pt idx="2">
                  <c:v>11.2</c:v>
                </c:pt>
                <c:pt idx="3">
                  <c:v>10.399999999999999</c:v>
                </c:pt>
                <c:pt idx="4">
                  <c:v>9.7999999999999989</c:v>
                </c:pt>
                <c:pt idx="5">
                  <c:v>9.3999999999999986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23-412A-959C-F17E1F93D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5382543"/>
        <c:axId val="1565383023"/>
      </c:lineChart>
      <c:catAx>
        <c:axId val="15653825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565383023"/>
        <c:crosses val="autoZero"/>
        <c:auto val="1"/>
        <c:lblAlgn val="ctr"/>
        <c:lblOffset val="100"/>
        <c:noMultiLvlLbl val="0"/>
      </c:catAx>
      <c:valAx>
        <c:axId val="156538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565382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burdonchart!$B$101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burdonchart!$C$101:$H$101</c:f>
              <c:numCache>
                <c:formatCode>General</c:formatCode>
                <c:ptCount val="6"/>
                <c:pt idx="0">
                  <c:v>15</c:v>
                </c:pt>
                <c:pt idx="1">
                  <c:v>11</c:v>
                </c:pt>
                <c:pt idx="2">
                  <c:v>8</c:v>
                </c:pt>
                <c:pt idx="3">
                  <c:v>5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A9-4F2D-9AF4-245A3D722AEB}"/>
            </c:ext>
          </c:extLst>
        </c:ser>
        <c:ser>
          <c:idx val="1"/>
          <c:order val="1"/>
          <c:tx>
            <c:strRef>
              <c:f>burdonchart!$B$102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burdonchart!$C$102:$H$102</c:f>
              <c:numCache>
                <c:formatCode>General</c:formatCode>
                <c:ptCount val="6"/>
                <c:pt idx="0">
                  <c:v>15</c:v>
                </c:pt>
                <c:pt idx="1">
                  <c:v>12</c:v>
                </c:pt>
                <c:pt idx="2">
                  <c:v>11.2</c:v>
                </c:pt>
                <c:pt idx="3">
                  <c:v>10.6</c:v>
                </c:pt>
                <c:pt idx="4">
                  <c:v>10</c:v>
                </c:pt>
                <c:pt idx="5">
                  <c:v>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A9-4F2D-9AF4-245A3D722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903023"/>
        <c:axId val="823903503"/>
      </c:lineChart>
      <c:catAx>
        <c:axId val="8239030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823903503"/>
        <c:crosses val="autoZero"/>
        <c:auto val="1"/>
        <c:lblAlgn val="ctr"/>
        <c:lblOffset val="100"/>
        <c:noMultiLvlLbl val="0"/>
      </c:catAx>
      <c:valAx>
        <c:axId val="82390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823903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burdonchart!$B$38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burdonchart!$C$38:$H$38</c:f>
              <c:numCache>
                <c:formatCode>General</c:formatCode>
                <c:ptCount val="6"/>
                <c:pt idx="0">
                  <c:v>20</c:v>
                </c:pt>
                <c:pt idx="1">
                  <c:v>16</c:v>
                </c:pt>
                <c:pt idx="2">
                  <c:v>10</c:v>
                </c:pt>
                <c:pt idx="3">
                  <c:v>5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BC-480A-AC21-748F5FDBB6F7}"/>
            </c:ext>
          </c:extLst>
        </c:ser>
        <c:ser>
          <c:idx val="1"/>
          <c:order val="1"/>
          <c:tx>
            <c:strRef>
              <c:f>burdonchart!$B$39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burdonchart!$C$39:$H$39</c:f>
              <c:numCache>
                <c:formatCode>General</c:formatCode>
                <c:ptCount val="6"/>
                <c:pt idx="0">
                  <c:v>20</c:v>
                </c:pt>
                <c:pt idx="1">
                  <c:v>16</c:v>
                </c:pt>
                <c:pt idx="2">
                  <c:v>15.2</c:v>
                </c:pt>
                <c:pt idx="3">
                  <c:v>14</c:v>
                </c:pt>
                <c:pt idx="4">
                  <c:v>13</c:v>
                </c:pt>
                <c:pt idx="5">
                  <c:v>12.2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BC-480A-AC21-748F5FDBB6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3547519"/>
        <c:axId val="1023548959"/>
      </c:lineChart>
      <c:catAx>
        <c:axId val="10235475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023548959"/>
        <c:crosses val="autoZero"/>
        <c:auto val="1"/>
        <c:lblAlgn val="ctr"/>
        <c:lblOffset val="100"/>
        <c:noMultiLvlLbl val="0"/>
      </c:catAx>
      <c:valAx>
        <c:axId val="1023548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023547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burdonchart!$B$101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burdonchart!$C$101:$H$101</c:f>
              <c:numCache>
                <c:formatCode>General</c:formatCode>
                <c:ptCount val="6"/>
                <c:pt idx="0">
                  <c:v>15</c:v>
                </c:pt>
                <c:pt idx="1">
                  <c:v>11</c:v>
                </c:pt>
                <c:pt idx="2">
                  <c:v>8</c:v>
                </c:pt>
                <c:pt idx="3">
                  <c:v>5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8F-4EAF-97AD-08A50D2DC69A}"/>
            </c:ext>
          </c:extLst>
        </c:ser>
        <c:ser>
          <c:idx val="1"/>
          <c:order val="1"/>
          <c:tx>
            <c:strRef>
              <c:f>burdonchart!$B$102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burdonchart!$C$102:$H$102</c:f>
              <c:numCache>
                <c:formatCode>General</c:formatCode>
                <c:ptCount val="6"/>
                <c:pt idx="0">
                  <c:v>15</c:v>
                </c:pt>
                <c:pt idx="1">
                  <c:v>12</c:v>
                </c:pt>
                <c:pt idx="2">
                  <c:v>11.2</c:v>
                </c:pt>
                <c:pt idx="3">
                  <c:v>10.6</c:v>
                </c:pt>
                <c:pt idx="4">
                  <c:v>10</c:v>
                </c:pt>
                <c:pt idx="5">
                  <c:v>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8F-4EAF-97AD-08A50D2DC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903023"/>
        <c:axId val="823903503"/>
      </c:lineChart>
      <c:catAx>
        <c:axId val="8239030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823903503"/>
        <c:crosses val="autoZero"/>
        <c:auto val="1"/>
        <c:lblAlgn val="ctr"/>
        <c:lblOffset val="100"/>
        <c:noMultiLvlLbl val="0"/>
      </c:catAx>
      <c:valAx>
        <c:axId val="82390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823903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burdonchart!$B$101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burdonchart!$C$101:$H$101</c:f>
              <c:numCache>
                <c:formatCode>General</c:formatCode>
                <c:ptCount val="6"/>
                <c:pt idx="0">
                  <c:v>15</c:v>
                </c:pt>
                <c:pt idx="1">
                  <c:v>11</c:v>
                </c:pt>
                <c:pt idx="2">
                  <c:v>8</c:v>
                </c:pt>
                <c:pt idx="3">
                  <c:v>5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CC-4A8C-9E75-FDC6B21722D7}"/>
            </c:ext>
          </c:extLst>
        </c:ser>
        <c:ser>
          <c:idx val="1"/>
          <c:order val="1"/>
          <c:tx>
            <c:strRef>
              <c:f>burdonchart!$B$102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burdonchart!$C$102:$H$102</c:f>
              <c:numCache>
                <c:formatCode>General</c:formatCode>
                <c:ptCount val="6"/>
                <c:pt idx="0">
                  <c:v>15</c:v>
                </c:pt>
                <c:pt idx="1">
                  <c:v>12</c:v>
                </c:pt>
                <c:pt idx="2">
                  <c:v>11.2</c:v>
                </c:pt>
                <c:pt idx="3">
                  <c:v>10.6</c:v>
                </c:pt>
                <c:pt idx="4">
                  <c:v>10</c:v>
                </c:pt>
                <c:pt idx="5">
                  <c:v>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CC-4A8C-9E75-FDC6B21722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903023"/>
        <c:axId val="823903503"/>
      </c:lineChart>
      <c:catAx>
        <c:axId val="8239030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823903503"/>
        <c:crosses val="autoZero"/>
        <c:auto val="1"/>
        <c:lblAlgn val="ctr"/>
        <c:lblOffset val="100"/>
        <c:noMultiLvlLbl val="0"/>
      </c:catAx>
      <c:valAx>
        <c:axId val="82390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823903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burdonchart!$B$101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burdonchart!$C$101:$H$101</c:f>
              <c:numCache>
                <c:formatCode>General</c:formatCode>
                <c:ptCount val="6"/>
                <c:pt idx="0">
                  <c:v>15</c:v>
                </c:pt>
                <c:pt idx="1">
                  <c:v>11</c:v>
                </c:pt>
                <c:pt idx="2">
                  <c:v>8</c:v>
                </c:pt>
                <c:pt idx="3">
                  <c:v>5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F4-4D28-A09D-DD0F098FCFC1}"/>
            </c:ext>
          </c:extLst>
        </c:ser>
        <c:ser>
          <c:idx val="1"/>
          <c:order val="1"/>
          <c:tx>
            <c:strRef>
              <c:f>burdonchart!$B$102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burdonchart!$C$102:$H$102</c:f>
              <c:numCache>
                <c:formatCode>General</c:formatCode>
                <c:ptCount val="6"/>
                <c:pt idx="0">
                  <c:v>15</c:v>
                </c:pt>
                <c:pt idx="1">
                  <c:v>12</c:v>
                </c:pt>
                <c:pt idx="2">
                  <c:v>11.2</c:v>
                </c:pt>
                <c:pt idx="3">
                  <c:v>10.6</c:v>
                </c:pt>
                <c:pt idx="4">
                  <c:v>10</c:v>
                </c:pt>
                <c:pt idx="5">
                  <c:v>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F4-4D28-A09D-DD0F098FCF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903023"/>
        <c:axId val="823903503"/>
      </c:lineChart>
      <c:catAx>
        <c:axId val="8239030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823903503"/>
        <c:crosses val="autoZero"/>
        <c:auto val="1"/>
        <c:lblAlgn val="ctr"/>
        <c:lblOffset val="100"/>
        <c:noMultiLvlLbl val="0"/>
      </c:catAx>
      <c:valAx>
        <c:axId val="82390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823903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burdonchart!$B$101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burdonchart!$C$101:$H$101</c:f>
              <c:numCache>
                <c:formatCode>General</c:formatCode>
                <c:ptCount val="6"/>
                <c:pt idx="0">
                  <c:v>15</c:v>
                </c:pt>
                <c:pt idx="1">
                  <c:v>11</c:v>
                </c:pt>
                <c:pt idx="2">
                  <c:v>8</c:v>
                </c:pt>
                <c:pt idx="3">
                  <c:v>5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E1-4F2D-BA43-68FE37B7EB2F}"/>
            </c:ext>
          </c:extLst>
        </c:ser>
        <c:ser>
          <c:idx val="1"/>
          <c:order val="1"/>
          <c:tx>
            <c:strRef>
              <c:f>burdonchart!$B$102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burdonchart!$C$102:$H$102</c:f>
              <c:numCache>
                <c:formatCode>General</c:formatCode>
                <c:ptCount val="6"/>
                <c:pt idx="0">
                  <c:v>15</c:v>
                </c:pt>
                <c:pt idx="1">
                  <c:v>12</c:v>
                </c:pt>
                <c:pt idx="2">
                  <c:v>11.2</c:v>
                </c:pt>
                <c:pt idx="3">
                  <c:v>10.6</c:v>
                </c:pt>
                <c:pt idx="4">
                  <c:v>10</c:v>
                </c:pt>
                <c:pt idx="5">
                  <c:v>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E1-4F2D-BA43-68FE37B7EB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903023"/>
        <c:axId val="823903503"/>
      </c:lineChart>
      <c:catAx>
        <c:axId val="8239030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823903503"/>
        <c:crosses val="autoZero"/>
        <c:auto val="1"/>
        <c:lblAlgn val="ctr"/>
        <c:lblOffset val="100"/>
        <c:noMultiLvlLbl val="0"/>
      </c:catAx>
      <c:valAx>
        <c:axId val="82390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823903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burdonchart!$B$101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burdonchart!$C$101:$H$101</c:f>
              <c:numCache>
                <c:formatCode>General</c:formatCode>
                <c:ptCount val="6"/>
                <c:pt idx="0">
                  <c:v>15</c:v>
                </c:pt>
                <c:pt idx="1">
                  <c:v>11</c:v>
                </c:pt>
                <c:pt idx="2">
                  <c:v>8</c:v>
                </c:pt>
                <c:pt idx="3">
                  <c:v>5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96-42C2-BFFA-8D88C546B68E}"/>
            </c:ext>
          </c:extLst>
        </c:ser>
        <c:ser>
          <c:idx val="1"/>
          <c:order val="1"/>
          <c:tx>
            <c:strRef>
              <c:f>burdonchart!$B$102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burdonchart!$C$102:$H$102</c:f>
              <c:numCache>
                <c:formatCode>General</c:formatCode>
                <c:ptCount val="6"/>
                <c:pt idx="0">
                  <c:v>15</c:v>
                </c:pt>
                <c:pt idx="1">
                  <c:v>12</c:v>
                </c:pt>
                <c:pt idx="2">
                  <c:v>11.2</c:v>
                </c:pt>
                <c:pt idx="3">
                  <c:v>10.6</c:v>
                </c:pt>
                <c:pt idx="4">
                  <c:v>10</c:v>
                </c:pt>
                <c:pt idx="5">
                  <c:v>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96-42C2-BFFA-8D88C546B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903023"/>
        <c:axId val="823903503"/>
      </c:lineChart>
      <c:catAx>
        <c:axId val="8239030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823903503"/>
        <c:crosses val="autoZero"/>
        <c:auto val="1"/>
        <c:lblAlgn val="ctr"/>
        <c:lblOffset val="100"/>
        <c:noMultiLvlLbl val="0"/>
      </c:catAx>
      <c:valAx>
        <c:axId val="82390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823903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burdonchart!$B$101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burdonchart!$C$101:$H$101</c:f>
              <c:numCache>
                <c:formatCode>General</c:formatCode>
                <c:ptCount val="6"/>
                <c:pt idx="0">
                  <c:v>15</c:v>
                </c:pt>
                <c:pt idx="1">
                  <c:v>11</c:v>
                </c:pt>
                <c:pt idx="2">
                  <c:v>8</c:v>
                </c:pt>
                <c:pt idx="3">
                  <c:v>5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C3-4847-BE9B-B80065504898}"/>
            </c:ext>
          </c:extLst>
        </c:ser>
        <c:ser>
          <c:idx val="1"/>
          <c:order val="1"/>
          <c:tx>
            <c:strRef>
              <c:f>burdonchart!$B$102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burdonchart!$C$102:$H$102</c:f>
              <c:numCache>
                <c:formatCode>General</c:formatCode>
                <c:ptCount val="6"/>
                <c:pt idx="0">
                  <c:v>15</c:v>
                </c:pt>
                <c:pt idx="1">
                  <c:v>12</c:v>
                </c:pt>
                <c:pt idx="2">
                  <c:v>11.2</c:v>
                </c:pt>
                <c:pt idx="3">
                  <c:v>10.6</c:v>
                </c:pt>
                <c:pt idx="4">
                  <c:v>10</c:v>
                </c:pt>
                <c:pt idx="5">
                  <c:v>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C3-4847-BE9B-B800655048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903023"/>
        <c:axId val="823903503"/>
      </c:lineChart>
      <c:catAx>
        <c:axId val="8239030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823903503"/>
        <c:crosses val="autoZero"/>
        <c:auto val="1"/>
        <c:lblAlgn val="ctr"/>
        <c:lblOffset val="100"/>
        <c:noMultiLvlLbl val="0"/>
      </c:catAx>
      <c:valAx>
        <c:axId val="82390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823903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burdonchart!$B$101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burdonchart!$C$101:$H$101</c:f>
              <c:numCache>
                <c:formatCode>General</c:formatCode>
                <c:ptCount val="6"/>
                <c:pt idx="0">
                  <c:v>15</c:v>
                </c:pt>
                <c:pt idx="1">
                  <c:v>11</c:v>
                </c:pt>
                <c:pt idx="2">
                  <c:v>8</c:v>
                </c:pt>
                <c:pt idx="3">
                  <c:v>5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B2-46A2-8C38-440E400D4ADC}"/>
            </c:ext>
          </c:extLst>
        </c:ser>
        <c:ser>
          <c:idx val="1"/>
          <c:order val="1"/>
          <c:tx>
            <c:strRef>
              <c:f>burdonchart!$B$102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burdonchart!$C$102:$H$102</c:f>
              <c:numCache>
                <c:formatCode>General</c:formatCode>
                <c:ptCount val="6"/>
                <c:pt idx="0">
                  <c:v>15</c:v>
                </c:pt>
                <c:pt idx="1">
                  <c:v>12</c:v>
                </c:pt>
                <c:pt idx="2">
                  <c:v>11.2</c:v>
                </c:pt>
                <c:pt idx="3">
                  <c:v>10.6</c:v>
                </c:pt>
                <c:pt idx="4">
                  <c:v>10</c:v>
                </c:pt>
                <c:pt idx="5">
                  <c:v>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B2-46A2-8C38-440E400D4A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903023"/>
        <c:axId val="823903503"/>
      </c:lineChart>
      <c:catAx>
        <c:axId val="8239030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823903503"/>
        <c:crosses val="autoZero"/>
        <c:auto val="1"/>
        <c:lblAlgn val="ctr"/>
        <c:lblOffset val="100"/>
        <c:noMultiLvlLbl val="0"/>
      </c:catAx>
      <c:valAx>
        <c:axId val="82390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823903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burdonchart!$B$101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burdonchart!$C$101:$H$101</c:f>
              <c:numCache>
                <c:formatCode>General</c:formatCode>
                <c:ptCount val="6"/>
                <c:pt idx="0">
                  <c:v>15</c:v>
                </c:pt>
                <c:pt idx="1">
                  <c:v>11</c:v>
                </c:pt>
                <c:pt idx="2">
                  <c:v>8</c:v>
                </c:pt>
                <c:pt idx="3">
                  <c:v>5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42-49F9-80F1-3C68FE2CB7C8}"/>
            </c:ext>
          </c:extLst>
        </c:ser>
        <c:ser>
          <c:idx val="1"/>
          <c:order val="1"/>
          <c:tx>
            <c:strRef>
              <c:f>burdonchart!$B$102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burdonchart!$C$102:$H$102</c:f>
              <c:numCache>
                <c:formatCode>General</c:formatCode>
                <c:ptCount val="6"/>
                <c:pt idx="0">
                  <c:v>15</c:v>
                </c:pt>
                <c:pt idx="1">
                  <c:v>12</c:v>
                </c:pt>
                <c:pt idx="2">
                  <c:v>11.2</c:v>
                </c:pt>
                <c:pt idx="3">
                  <c:v>10.6</c:v>
                </c:pt>
                <c:pt idx="4">
                  <c:v>10</c:v>
                </c:pt>
                <c:pt idx="5">
                  <c:v>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42-49F9-80F1-3C68FE2CB7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903023"/>
        <c:axId val="823903503"/>
      </c:lineChart>
      <c:catAx>
        <c:axId val="8239030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823903503"/>
        <c:crosses val="autoZero"/>
        <c:auto val="1"/>
        <c:lblAlgn val="ctr"/>
        <c:lblOffset val="100"/>
        <c:noMultiLvlLbl val="0"/>
      </c:catAx>
      <c:valAx>
        <c:axId val="82390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823903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burdonchart!$B$101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burdonchart!$C$101:$H$101</c:f>
              <c:numCache>
                <c:formatCode>General</c:formatCode>
                <c:ptCount val="6"/>
                <c:pt idx="0">
                  <c:v>15</c:v>
                </c:pt>
                <c:pt idx="1">
                  <c:v>11</c:v>
                </c:pt>
                <c:pt idx="2">
                  <c:v>8</c:v>
                </c:pt>
                <c:pt idx="3">
                  <c:v>5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01-41FD-A77A-385C82305EC9}"/>
            </c:ext>
          </c:extLst>
        </c:ser>
        <c:ser>
          <c:idx val="1"/>
          <c:order val="1"/>
          <c:tx>
            <c:strRef>
              <c:f>burdonchart!$B$102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burdonchart!$C$102:$H$102</c:f>
              <c:numCache>
                <c:formatCode>General</c:formatCode>
                <c:ptCount val="6"/>
                <c:pt idx="0">
                  <c:v>15</c:v>
                </c:pt>
                <c:pt idx="1">
                  <c:v>12</c:v>
                </c:pt>
                <c:pt idx="2">
                  <c:v>11.2</c:v>
                </c:pt>
                <c:pt idx="3">
                  <c:v>10.6</c:v>
                </c:pt>
                <c:pt idx="4">
                  <c:v>10</c:v>
                </c:pt>
                <c:pt idx="5">
                  <c:v>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01-41FD-A77A-385C82305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903023"/>
        <c:axId val="823903503"/>
      </c:lineChart>
      <c:catAx>
        <c:axId val="8239030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823903503"/>
        <c:crosses val="autoZero"/>
        <c:auto val="1"/>
        <c:lblAlgn val="ctr"/>
        <c:lblOffset val="100"/>
        <c:noMultiLvlLbl val="0"/>
      </c:catAx>
      <c:valAx>
        <c:axId val="82390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823903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568779</xdr:colOff>
      <xdr:row>31</xdr:row>
      <xdr:rowOff>119742</xdr:rowOff>
    </xdr:from>
    <xdr:to>
      <xdr:col>15</xdr:col>
      <xdr:colOff>167368</xdr:colOff>
      <xdr:row>45</xdr:row>
      <xdr:rowOff>131989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596537</xdr:colOff>
      <xdr:row>58</xdr:row>
      <xdr:rowOff>40820</xdr:rowOff>
    </xdr:from>
    <xdr:to>
      <xdr:col>15</xdr:col>
      <xdr:colOff>162197</xdr:colOff>
      <xdr:row>71</xdr:row>
      <xdr:rowOff>183968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611233</xdr:colOff>
      <xdr:row>93</xdr:row>
      <xdr:rowOff>136071</xdr:rowOff>
    </xdr:from>
    <xdr:to>
      <xdr:col>15</xdr:col>
      <xdr:colOff>214993</xdr:colOff>
      <xdr:row>107</xdr:row>
      <xdr:rowOff>72934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3</xdr:row>
      <xdr:rowOff>0</xdr:rowOff>
    </xdr:from>
    <xdr:to>
      <xdr:col>16</xdr:col>
      <xdr:colOff>428171</xdr:colOff>
      <xdr:row>16</xdr:row>
      <xdr:rowOff>146957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611233</xdr:colOff>
      <xdr:row>117</xdr:row>
      <xdr:rowOff>136071</xdr:rowOff>
    </xdr:from>
    <xdr:to>
      <xdr:col>15</xdr:col>
      <xdr:colOff>214993</xdr:colOff>
      <xdr:row>131</xdr:row>
      <xdr:rowOff>72934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DFD4C20-DFBA-494B-84C4-2F94E8BA38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611233</xdr:colOff>
      <xdr:row>141</xdr:row>
      <xdr:rowOff>136071</xdr:rowOff>
    </xdr:from>
    <xdr:to>
      <xdr:col>15</xdr:col>
      <xdr:colOff>214993</xdr:colOff>
      <xdr:row>155</xdr:row>
      <xdr:rowOff>72934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775438D-DAE0-44FE-8FDA-B59D83319C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611233</xdr:colOff>
      <xdr:row>165</xdr:row>
      <xdr:rowOff>136071</xdr:rowOff>
    </xdr:from>
    <xdr:to>
      <xdr:col>15</xdr:col>
      <xdr:colOff>214993</xdr:colOff>
      <xdr:row>179</xdr:row>
      <xdr:rowOff>72934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FD0CA34-2AFC-462A-842E-AB1DBA7516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611233</xdr:colOff>
      <xdr:row>193</xdr:row>
      <xdr:rowOff>136071</xdr:rowOff>
    </xdr:from>
    <xdr:to>
      <xdr:col>15</xdr:col>
      <xdr:colOff>214993</xdr:colOff>
      <xdr:row>207</xdr:row>
      <xdr:rowOff>72934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F7ADE9A-7673-464F-A340-0C04BE9C35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611233</xdr:colOff>
      <xdr:row>219</xdr:row>
      <xdr:rowOff>136071</xdr:rowOff>
    </xdr:from>
    <xdr:to>
      <xdr:col>15</xdr:col>
      <xdr:colOff>214993</xdr:colOff>
      <xdr:row>233</xdr:row>
      <xdr:rowOff>72934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35440E26-1678-4290-9A3F-30A852E565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611233</xdr:colOff>
      <xdr:row>243</xdr:row>
      <xdr:rowOff>136071</xdr:rowOff>
    </xdr:from>
    <xdr:to>
      <xdr:col>15</xdr:col>
      <xdr:colOff>214993</xdr:colOff>
      <xdr:row>257</xdr:row>
      <xdr:rowOff>72934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C3BFD1E6-30A8-42BF-B917-F031588485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611233</xdr:colOff>
      <xdr:row>269</xdr:row>
      <xdr:rowOff>136071</xdr:rowOff>
    </xdr:from>
    <xdr:to>
      <xdr:col>15</xdr:col>
      <xdr:colOff>214993</xdr:colOff>
      <xdr:row>283</xdr:row>
      <xdr:rowOff>72934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A49BB608-8C02-4303-94A5-337FF1651B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611233</xdr:colOff>
      <xdr:row>294</xdr:row>
      <xdr:rowOff>136071</xdr:rowOff>
    </xdr:from>
    <xdr:to>
      <xdr:col>15</xdr:col>
      <xdr:colOff>214993</xdr:colOff>
      <xdr:row>308</xdr:row>
      <xdr:rowOff>72934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CFA13882-60DE-4163-81D3-5BA79E318C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611233</xdr:colOff>
      <xdr:row>319</xdr:row>
      <xdr:rowOff>136071</xdr:rowOff>
    </xdr:from>
    <xdr:to>
      <xdr:col>15</xdr:col>
      <xdr:colOff>214993</xdr:colOff>
      <xdr:row>333</xdr:row>
      <xdr:rowOff>72934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95AE5FB0-46C7-4271-A01C-4D9C4AA021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8B40221-9F47-4D96-A321-64E15A29D5A5}" name="Table_138" displayName="Table_138" ref="I62:I64" headerRowCount="0" totalsRowShown="0">
  <tableColumns count="1">
    <tableColumn id="1" xr3:uid="{39D12BE6-76AE-45D3-B9AB-374B2C3BB84D}" name="Column1">
      <calculatedColumnFormula>SUM(D62:H62)</calculatedColumnFormula>
    </tableColumn>
  </tableColumns>
  <tableStyleInfo name="burdonchart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DFB8253-D5B1-4A11-BD62-1C30036CF747}" name="Table_13811" displayName="Table_13811" ref="I94:I96" headerRowCount="0" totalsRowShown="0">
  <tableColumns count="1">
    <tableColumn id="1" xr3:uid="{F0C3D221-1910-4683-9473-FCE1F64FE72B}" name="Column1">
      <calculatedColumnFormula>SUM(D94:H94)</calculatedColumnFormula>
    </tableColumn>
  </tableColumns>
  <tableStyleInfo name="burdonchart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72F3AEB-3CFB-40D6-B188-6917669DACEC}" name="Table_134" displayName="Table_134" ref="I4:I6" headerRowCount="0" totalsRowShown="0">
  <tableColumns count="1">
    <tableColumn id="1" xr3:uid="{14459500-6CA8-4E74-88BC-49C07CBBAF27}" name="Column1">
      <calculatedColumnFormula>SUM(D4:H4)</calculatedColumnFormula>
    </tableColumn>
  </tableColumns>
  <tableStyleInfo name="burdonchart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4A62F31-DD29-4A2C-9055-4E46C152C8D2}" name="Table_1369" displayName="Table_1369" ref="I33:I36" headerRowCount="0" totalsRowShown="0">
  <tableColumns count="1">
    <tableColumn id="1" xr3:uid="{62D5555C-4162-4903-934E-0EAACBA6025E}" name="Column1">
      <calculatedColumnFormula>SUM(D33:H33)</calculatedColumnFormula>
    </tableColumn>
  </tableColumns>
  <tableStyleInfo name="burdonchart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0883C1-6A94-437A-B0FB-F4F6FB100CEE}" name="Table_138112" displayName="Table_138112" ref="I118:I120" headerRowCount="0" totalsRowShown="0">
  <tableColumns count="1">
    <tableColumn id="1" xr3:uid="{682FD11E-DED9-4B13-87C5-3CCBAB73707E}" name="Column1">
      <calculatedColumnFormula>SUM(D118:H118)</calculatedColumnFormula>
    </tableColumn>
  </tableColumns>
  <tableStyleInfo name="burdonchart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69AE4B-7DF0-4BB9-A42B-C496570CFDCE}" name="Table_138113" displayName="Table_138113" ref="I142:I144" headerRowCount="0" totalsRowShown="0">
  <tableColumns count="1">
    <tableColumn id="1" xr3:uid="{3DEC14DB-35B2-4F0A-9B29-C8F72A49456C}" name="Column1">
      <calculatedColumnFormula>SUM(D142:H142)</calculatedColumnFormula>
    </tableColumn>
  </tableColumns>
  <tableStyleInfo name="burdonchart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58F188-DFA5-4B9B-9C83-FAFED4AF452D}" name="Table_1381135" displayName="Table_1381135" ref="I166:I168" headerRowCount="0" totalsRowShown="0">
  <tableColumns count="1">
    <tableColumn id="1" xr3:uid="{F4A23EDE-5240-43BD-873A-74AEBCA692D4}" name="Column1">
      <calculatedColumnFormula>SUM(D166:H166)</calculatedColumnFormula>
    </tableColumn>
  </tableColumns>
  <tableStyleInfo name="burdonchart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F823567-BA29-43FF-AB11-DCBEDA367101}" name="Table_13811357" displayName="Table_13811357" ref="I194:I196" headerRowCount="0" totalsRowShown="0">
  <tableColumns count="1">
    <tableColumn id="1" xr3:uid="{51FAEFB0-0ADC-4CEB-9741-9691AE57D660}" name="Column1">
      <calculatedColumnFormula>SUM(D194:H194)</calculatedColumnFormula>
    </tableColumn>
  </tableColumns>
  <tableStyleInfo name="burdonchart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3B29543-0227-4708-8C86-40187C14829C}" name="Table_138113510" displayName="Table_138113510" ref="I220:I222" headerRowCount="0" totalsRowShown="0">
  <tableColumns count="1">
    <tableColumn id="1" xr3:uid="{2A84A23B-769B-496C-B3DA-10C0CBE8DD69}" name="Column1">
      <calculatedColumnFormula>SUM(D220:H220)</calculatedColumnFormula>
    </tableColumn>
  </tableColumns>
  <tableStyleInfo name="burdonchart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4F7249F-B6EA-43E1-9CAC-E5F140FABE76}" name="Table_138113512" displayName="Table_138113512" ref="I244:I246" headerRowCount="0" totalsRowShown="0">
  <tableColumns count="1">
    <tableColumn id="1" xr3:uid="{813D25F7-F276-4904-BBC5-39A2ADA3797D}" name="Column1">
      <calculatedColumnFormula>SUM(D244:H244)</calculatedColumnFormula>
    </tableColumn>
  </tableColumns>
  <tableStyleInfo name="burdonchart-style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8737462-EB10-4080-9E75-1BC21AF625CF}" name="Table_138113513" displayName="Table_138113513" ref="I270:I272" headerRowCount="0" totalsRowShown="0">
  <tableColumns count="1">
    <tableColumn id="1" xr3:uid="{010134FF-B2D8-49AD-929E-9CA815FCBD69}" name="Column1">
      <calculatedColumnFormula>SUM(D270:H270)</calculatedColumnFormula>
    </tableColumn>
  </tableColumns>
  <tableStyleInfo name="burdonchart-style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2494838-F0E0-4E49-A5EB-489600078B06}" name="Table_138113514" displayName="Table_138113514" ref="I295:I297" headerRowCount="0" totalsRowShown="0">
  <tableColumns count="1">
    <tableColumn id="1" xr3:uid="{B5FC4C41-15EC-40AF-83F5-28D5773888D6}" name="Column1">
      <calculatedColumnFormula>SUM(D295:H295)</calculatedColumnFormula>
    </tableColumn>
  </tableColumns>
  <tableStyleInfo name="burdonchart-style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544FDD4-648E-43DA-9467-B7642E106BC8}" name="Table_138113515" displayName="Table_138113515" ref="I320:I322" headerRowCount="0" totalsRowShown="0">
  <tableColumns count="1">
    <tableColumn id="1" xr3:uid="{6669EF7F-2368-4261-88E2-2B10F4CDF903}" name="Column1">
      <calculatedColumnFormula>SUM(D320:H320)</calculatedColumnFormula>
    </tableColumn>
  </tableColumns>
  <tableStyleInfo name="burdonchar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I953"/>
  <sheetViews>
    <sheetView topLeftCell="A55" zoomScale="66" zoomScaleNormal="66" workbookViewId="0">
      <selection sqref="A1:XFD1048576"/>
    </sheetView>
  </sheetViews>
  <sheetFormatPr baseColWidth="10" defaultColWidth="12.5546875" defaultRowHeight="15" customHeight="1" x14ac:dyDescent="0.25"/>
  <cols>
    <col min="1" max="2" width="12.44140625" customWidth="1"/>
    <col min="3" max="3" width="69.109375" customWidth="1"/>
    <col min="4" max="4" width="26.44140625" customWidth="1"/>
    <col min="5" max="5" width="45.109375" customWidth="1"/>
    <col min="6" max="6" width="62.109375" customWidth="1"/>
    <col min="7" max="26" width="12.44140625" customWidth="1"/>
  </cols>
  <sheetData>
    <row r="1" spans="2:9" ht="15.75" customHeight="1" x14ac:dyDescent="0.25"/>
    <row r="2" spans="2:9" ht="15.75" customHeight="1" x14ac:dyDescent="0.25"/>
    <row r="3" spans="2:9" ht="15.6" customHeight="1" x14ac:dyDescent="0.25">
      <c r="B3" s="1" t="s">
        <v>10</v>
      </c>
      <c r="C3" s="1" t="s">
        <v>1</v>
      </c>
      <c r="D3" s="1" t="s">
        <v>2</v>
      </c>
      <c r="E3" s="1" t="s">
        <v>11</v>
      </c>
      <c r="F3" s="1" t="s">
        <v>12</v>
      </c>
      <c r="G3" s="1" t="s">
        <v>5</v>
      </c>
      <c r="H3" s="1" t="s">
        <v>13</v>
      </c>
      <c r="I3" s="1" t="s">
        <v>14</v>
      </c>
    </row>
    <row r="4" spans="2:9" s="9" customFormat="1" ht="15.75" customHeight="1" x14ac:dyDescent="0.25">
      <c r="B4" s="28" t="s">
        <v>8</v>
      </c>
      <c r="C4" s="28" t="s">
        <v>50</v>
      </c>
      <c r="D4" s="28" t="s">
        <v>51</v>
      </c>
      <c r="E4" s="28" t="s">
        <v>52</v>
      </c>
      <c r="F4" s="28" t="s">
        <v>53</v>
      </c>
      <c r="G4" s="29"/>
      <c r="H4" s="28" t="s">
        <v>9</v>
      </c>
      <c r="I4" s="23" t="s">
        <v>115</v>
      </c>
    </row>
    <row r="5" spans="2:9" s="9" customFormat="1" ht="15.75" customHeight="1" x14ac:dyDescent="0.25">
      <c r="B5" s="30"/>
      <c r="C5" s="31" t="s">
        <v>15</v>
      </c>
      <c r="D5" s="30"/>
      <c r="E5" s="30"/>
      <c r="F5" s="30"/>
      <c r="G5" s="31" t="s">
        <v>16</v>
      </c>
      <c r="H5" s="30"/>
      <c r="I5" s="31" t="s">
        <v>17</v>
      </c>
    </row>
    <row r="6" spans="2:9" s="10" customFormat="1" ht="15.75" customHeight="1" x14ac:dyDescent="0.25">
      <c r="B6" s="30" t="s">
        <v>18</v>
      </c>
      <c r="C6" s="41" t="s">
        <v>77</v>
      </c>
      <c r="D6" s="42"/>
      <c r="E6" s="42"/>
      <c r="F6" s="42"/>
      <c r="G6" s="33" t="s">
        <v>43</v>
      </c>
      <c r="H6" s="30"/>
      <c r="I6" s="34">
        <v>5</v>
      </c>
    </row>
    <row r="7" spans="2:9" s="10" customFormat="1" ht="15.75" customHeight="1" x14ac:dyDescent="0.25">
      <c r="B7" s="30" t="s">
        <v>19</v>
      </c>
      <c r="C7" s="41" t="s">
        <v>45</v>
      </c>
      <c r="D7" s="42"/>
      <c r="E7" s="42"/>
      <c r="F7" s="42"/>
      <c r="G7" s="33" t="s">
        <v>43</v>
      </c>
      <c r="H7" s="30"/>
      <c r="I7" s="34">
        <v>4</v>
      </c>
    </row>
    <row r="8" spans="2:9" s="9" customFormat="1" ht="15.75" customHeight="1" x14ac:dyDescent="0.25">
      <c r="B8" s="30" t="s">
        <v>20</v>
      </c>
      <c r="C8" s="41" t="s">
        <v>44</v>
      </c>
      <c r="D8" s="42"/>
      <c r="E8" s="42"/>
      <c r="F8" s="42"/>
      <c r="G8" s="33" t="s">
        <v>43</v>
      </c>
      <c r="H8" s="30"/>
      <c r="I8" s="34">
        <v>4</v>
      </c>
    </row>
    <row r="9" spans="2:9" s="9" customFormat="1" ht="15.75" customHeight="1" x14ac:dyDescent="0.25">
      <c r="B9" s="30"/>
      <c r="C9" s="30"/>
      <c r="D9" s="32"/>
      <c r="E9" s="32"/>
      <c r="F9" s="32"/>
      <c r="G9" s="33"/>
      <c r="H9" s="30"/>
      <c r="I9" s="34"/>
    </row>
    <row r="10" spans="2:9" s="10" customFormat="1" ht="15.75" customHeight="1" x14ac:dyDescent="0.25">
      <c r="B10" s="35" t="s">
        <v>31</v>
      </c>
      <c r="C10" s="24" t="s">
        <v>63</v>
      </c>
      <c r="D10" s="35" t="s">
        <v>30</v>
      </c>
      <c r="E10" s="35" t="s">
        <v>55</v>
      </c>
      <c r="F10" s="35" t="s">
        <v>56</v>
      </c>
      <c r="G10" s="35"/>
      <c r="H10" s="35" t="s">
        <v>9</v>
      </c>
      <c r="I10" s="23" t="s">
        <v>115</v>
      </c>
    </row>
    <row r="11" spans="2:9" s="10" customFormat="1" ht="15.75" customHeight="1" x14ac:dyDescent="0.25">
      <c r="B11" s="30"/>
      <c r="C11" s="31" t="s">
        <v>15</v>
      </c>
      <c r="D11" s="30"/>
      <c r="E11" s="30"/>
      <c r="F11" s="30"/>
      <c r="G11" s="31" t="s">
        <v>16</v>
      </c>
      <c r="H11" s="30"/>
      <c r="I11" s="31" t="s">
        <v>17</v>
      </c>
    </row>
    <row r="12" spans="2:9" s="10" customFormat="1" ht="15.75" customHeight="1" x14ac:dyDescent="0.25">
      <c r="B12" s="30" t="s">
        <v>34</v>
      </c>
      <c r="C12" s="41" t="s">
        <v>78</v>
      </c>
      <c r="D12" s="41" t="s">
        <v>46</v>
      </c>
      <c r="E12" s="41" t="s">
        <v>46</v>
      </c>
      <c r="F12" s="41" t="s">
        <v>46</v>
      </c>
      <c r="G12" s="36" t="s">
        <v>59</v>
      </c>
      <c r="H12" s="30"/>
      <c r="I12" s="34">
        <v>6</v>
      </c>
    </row>
    <row r="13" spans="2:9" s="10" customFormat="1" ht="15.75" customHeight="1" x14ac:dyDescent="0.25">
      <c r="B13" s="30" t="s">
        <v>35</v>
      </c>
      <c r="C13" s="41" t="s">
        <v>79</v>
      </c>
      <c r="D13" s="41" t="s">
        <v>47</v>
      </c>
      <c r="E13" s="41" t="s">
        <v>47</v>
      </c>
      <c r="F13" s="41" t="s">
        <v>47</v>
      </c>
      <c r="G13" s="36" t="s">
        <v>59</v>
      </c>
      <c r="H13" s="30"/>
      <c r="I13" s="34">
        <v>4</v>
      </c>
    </row>
    <row r="14" spans="2:9" s="10" customFormat="1" ht="15.75" customHeight="1" x14ac:dyDescent="0.25">
      <c r="B14" s="30" t="s">
        <v>36</v>
      </c>
      <c r="C14" s="41" t="s">
        <v>80</v>
      </c>
      <c r="D14" s="41" t="s">
        <v>48</v>
      </c>
      <c r="E14" s="41" t="s">
        <v>48</v>
      </c>
      <c r="F14" s="41" t="s">
        <v>48</v>
      </c>
      <c r="G14" s="36" t="s">
        <v>59</v>
      </c>
      <c r="H14" s="30"/>
      <c r="I14" s="34">
        <v>5</v>
      </c>
    </row>
    <row r="15" spans="2:9" s="10" customFormat="1" ht="15.75" customHeight="1" x14ac:dyDescent="0.25">
      <c r="B15" s="30" t="s">
        <v>61</v>
      </c>
      <c r="C15" s="41" t="s">
        <v>81</v>
      </c>
      <c r="D15" s="41" t="s">
        <v>49</v>
      </c>
      <c r="E15" s="41" t="s">
        <v>49</v>
      </c>
      <c r="F15" s="41" t="s">
        <v>49</v>
      </c>
      <c r="G15" s="36" t="s">
        <v>59</v>
      </c>
      <c r="H15" s="32"/>
      <c r="I15" s="34">
        <v>5</v>
      </c>
    </row>
    <row r="16" spans="2:9" s="10" customFormat="1" ht="15.75" customHeight="1" x14ac:dyDescent="0.25">
      <c r="B16" s="30"/>
      <c r="C16" s="30"/>
      <c r="D16" s="30"/>
      <c r="E16" s="30"/>
      <c r="F16" s="30"/>
      <c r="G16" s="32"/>
      <c r="H16" s="32"/>
      <c r="I16" s="32"/>
    </row>
    <row r="17" spans="2:9" s="10" customFormat="1" ht="15.75" customHeight="1" x14ac:dyDescent="0.25">
      <c r="B17" s="35" t="s">
        <v>32</v>
      </c>
      <c r="C17" s="24" t="s">
        <v>64</v>
      </c>
      <c r="D17" s="35" t="s">
        <v>30</v>
      </c>
      <c r="E17" s="35" t="s">
        <v>70</v>
      </c>
      <c r="F17" s="35" t="s">
        <v>74</v>
      </c>
      <c r="G17" s="37"/>
      <c r="H17" s="35" t="s">
        <v>9</v>
      </c>
      <c r="I17" s="23" t="s">
        <v>115</v>
      </c>
    </row>
    <row r="18" spans="2:9" s="10" customFormat="1" ht="15.75" customHeight="1" x14ac:dyDescent="0.25">
      <c r="B18" s="30"/>
      <c r="C18" s="31" t="s">
        <v>15</v>
      </c>
      <c r="D18" s="30"/>
      <c r="E18" s="30"/>
      <c r="F18" s="30"/>
      <c r="G18" s="31" t="s">
        <v>16</v>
      </c>
      <c r="H18" s="30"/>
      <c r="I18" s="31" t="s">
        <v>17</v>
      </c>
    </row>
    <row r="19" spans="2:9" s="10" customFormat="1" ht="15.75" customHeight="1" x14ac:dyDescent="0.25">
      <c r="B19" s="30" t="s">
        <v>37</v>
      </c>
      <c r="C19" s="41" t="s">
        <v>86</v>
      </c>
      <c r="D19" s="41" t="s">
        <v>46</v>
      </c>
      <c r="E19" s="41" t="s">
        <v>46</v>
      </c>
      <c r="F19" s="41" t="s">
        <v>46</v>
      </c>
      <c r="G19" s="33" t="s">
        <v>43</v>
      </c>
      <c r="H19" s="30"/>
      <c r="I19" s="34">
        <v>4</v>
      </c>
    </row>
    <row r="20" spans="2:9" s="10" customFormat="1" ht="15.75" customHeight="1" x14ac:dyDescent="0.25">
      <c r="B20" s="30" t="s">
        <v>38</v>
      </c>
      <c r="C20" s="41" t="s">
        <v>87</v>
      </c>
      <c r="D20" s="41" t="s">
        <v>47</v>
      </c>
      <c r="E20" s="41" t="s">
        <v>47</v>
      </c>
      <c r="F20" s="41" t="s">
        <v>47</v>
      </c>
      <c r="G20" s="33" t="s">
        <v>43</v>
      </c>
      <c r="H20" s="30"/>
      <c r="I20" s="34">
        <v>4</v>
      </c>
    </row>
    <row r="21" spans="2:9" s="10" customFormat="1" ht="15.75" customHeight="1" x14ac:dyDescent="0.25">
      <c r="B21" s="30" t="s">
        <v>39</v>
      </c>
      <c r="C21" s="41" t="s">
        <v>82</v>
      </c>
      <c r="D21" s="41" t="s">
        <v>49</v>
      </c>
      <c r="E21" s="41" t="s">
        <v>49</v>
      </c>
      <c r="F21" s="41" t="s">
        <v>49</v>
      </c>
      <c r="G21" s="33" t="s">
        <v>43</v>
      </c>
      <c r="H21" s="30"/>
      <c r="I21" s="34">
        <v>3</v>
      </c>
    </row>
    <row r="22" spans="2:9" s="10" customFormat="1" ht="15.75" customHeight="1" x14ac:dyDescent="0.25">
      <c r="B22" s="30"/>
      <c r="C22" s="30"/>
      <c r="D22" s="30"/>
      <c r="E22" s="30"/>
      <c r="F22" s="30"/>
      <c r="G22" s="32"/>
      <c r="H22" s="32"/>
      <c r="I22" s="32"/>
    </row>
    <row r="23" spans="2:9" s="10" customFormat="1" ht="15.75" customHeight="1" x14ac:dyDescent="0.25">
      <c r="B23" s="35" t="s">
        <v>33</v>
      </c>
      <c r="C23" s="24" t="s">
        <v>65</v>
      </c>
      <c r="D23" s="35" t="s">
        <v>30</v>
      </c>
      <c r="E23" s="35" t="s">
        <v>71</v>
      </c>
      <c r="F23" s="35" t="s">
        <v>75</v>
      </c>
      <c r="G23" s="37"/>
      <c r="H23" s="35" t="s">
        <v>9</v>
      </c>
      <c r="I23" s="23" t="s">
        <v>115</v>
      </c>
    </row>
    <row r="24" spans="2:9" s="10" customFormat="1" ht="15.75" customHeight="1" x14ac:dyDescent="0.25">
      <c r="B24" s="30"/>
      <c r="C24" s="31" t="s">
        <v>15</v>
      </c>
      <c r="D24" s="30"/>
      <c r="E24" s="30"/>
      <c r="F24" s="30"/>
      <c r="G24" s="31" t="s">
        <v>16</v>
      </c>
      <c r="H24" s="30"/>
      <c r="I24" s="31" t="s">
        <v>17</v>
      </c>
    </row>
    <row r="25" spans="2:9" s="10" customFormat="1" ht="15.75" customHeight="1" x14ac:dyDescent="0.25">
      <c r="B25" s="30" t="s">
        <v>40</v>
      </c>
      <c r="C25" s="41" t="s">
        <v>97</v>
      </c>
      <c r="D25" s="41" t="s">
        <v>46</v>
      </c>
      <c r="E25" s="41" t="s">
        <v>46</v>
      </c>
      <c r="F25" s="41" t="s">
        <v>46</v>
      </c>
      <c r="G25" s="33" t="s">
        <v>58</v>
      </c>
      <c r="H25" s="30"/>
      <c r="I25" s="34">
        <v>6</v>
      </c>
    </row>
    <row r="26" spans="2:9" s="10" customFormat="1" ht="15.75" customHeight="1" x14ac:dyDescent="0.25">
      <c r="B26" s="30" t="s">
        <v>41</v>
      </c>
      <c r="C26" s="41" t="s">
        <v>98</v>
      </c>
      <c r="D26" s="41" t="s">
        <v>47</v>
      </c>
      <c r="E26" s="41" t="s">
        <v>47</v>
      </c>
      <c r="F26" s="41" t="s">
        <v>47</v>
      </c>
      <c r="G26" s="33" t="s">
        <v>58</v>
      </c>
      <c r="H26" s="30"/>
      <c r="I26" s="34">
        <v>4</v>
      </c>
    </row>
    <row r="27" spans="2:9" s="10" customFormat="1" ht="15.75" customHeight="1" x14ac:dyDescent="0.25">
      <c r="B27" s="30" t="s">
        <v>42</v>
      </c>
      <c r="C27" s="41" t="s">
        <v>96</v>
      </c>
      <c r="D27" s="41" t="s">
        <v>48</v>
      </c>
      <c r="E27" s="41" t="s">
        <v>48</v>
      </c>
      <c r="F27" s="41" t="s">
        <v>48</v>
      </c>
      <c r="G27" s="33" t="s">
        <v>58</v>
      </c>
      <c r="H27" s="30"/>
      <c r="I27" s="34">
        <v>5</v>
      </c>
    </row>
    <row r="28" spans="2:9" s="10" customFormat="1" ht="15.75" customHeight="1" x14ac:dyDescent="0.25">
      <c r="B28" s="32"/>
      <c r="C28" s="32"/>
      <c r="D28" s="32"/>
      <c r="E28" s="32"/>
      <c r="F28" s="32"/>
      <c r="G28" s="32"/>
      <c r="H28" s="32"/>
      <c r="I28" s="32"/>
    </row>
    <row r="29" spans="2:9" s="10" customFormat="1" ht="15.75" customHeight="1" x14ac:dyDescent="0.25">
      <c r="B29" s="35" t="s">
        <v>68</v>
      </c>
      <c r="C29" s="38" t="s">
        <v>66</v>
      </c>
      <c r="D29" s="35" t="s">
        <v>30</v>
      </c>
      <c r="E29" s="35" t="s">
        <v>72</v>
      </c>
      <c r="F29" s="35" t="s">
        <v>76</v>
      </c>
      <c r="G29" s="37"/>
      <c r="H29" s="35" t="s">
        <v>9</v>
      </c>
      <c r="I29" s="23" t="s">
        <v>115</v>
      </c>
    </row>
    <row r="30" spans="2:9" s="10" customFormat="1" ht="15.75" customHeight="1" x14ac:dyDescent="0.25">
      <c r="B30" s="32"/>
      <c r="C30" s="32"/>
      <c r="D30" s="32"/>
      <c r="E30" s="32"/>
      <c r="F30" s="32"/>
      <c r="G30" s="32"/>
      <c r="H30" s="32"/>
      <c r="I30" s="32"/>
    </row>
    <row r="31" spans="2:9" s="10" customFormat="1" ht="15.75" customHeight="1" x14ac:dyDescent="0.25">
      <c r="B31" s="30" t="s">
        <v>83</v>
      </c>
      <c r="C31" s="32" t="s">
        <v>99</v>
      </c>
      <c r="D31" s="32"/>
      <c r="E31" s="32"/>
      <c r="F31" s="32"/>
      <c r="G31" s="33" t="s">
        <v>58</v>
      </c>
      <c r="H31" s="32"/>
      <c r="I31" s="34">
        <v>6</v>
      </c>
    </row>
    <row r="32" spans="2:9" s="10" customFormat="1" ht="15.75" customHeight="1" x14ac:dyDescent="0.25">
      <c r="B32" s="30" t="s">
        <v>84</v>
      </c>
      <c r="C32" s="32" t="s">
        <v>88</v>
      </c>
      <c r="D32" s="32"/>
      <c r="E32" s="32"/>
      <c r="F32" s="32"/>
      <c r="G32" s="33" t="s">
        <v>58</v>
      </c>
      <c r="H32" s="32"/>
      <c r="I32" s="34">
        <v>4</v>
      </c>
    </row>
    <row r="33" spans="2:9" s="10" customFormat="1" ht="15.75" customHeight="1" x14ac:dyDescent="0.25">
      <c r="B33" s="30" t="s">
        <v>85</v>
      </c>
      <c r="C33" s="32" t="s">
        <v>89</v>
      </c>
      <c r="D33" s="32"/>
      <c r="E33" s="32"/>
      <c r="F33" s="32"/>
      <c r="G33" s="33" t="s">
        <v>58</v>
      </c>
      <c r="H33" s="32"/>
      <c r="I33" s="34">
        <v>5</v>
      </c>
    </row>
    <row r="34" spans="2:9" s="10" customFormat="1" ht="15.75" customHeight="1" x14ac:dyDescent="0.25">
      <c r="B34" s="32"/>
      <c r="C34" s="32"/>
      <c r="D34" s="32"/>
      <c r="E34" s="32"/>
      <c r="F34" s="32"/>
      <c r="G34" s="32"/>
      <c r="H34" s="32"/>
      <c r="I34" s="32"/>
    </row>
    <row r="35" spans="2:9" s="10" customFormat="1" ht="15.75" customHeight="1" x14ac:dyDescent="0.25">
      <c r="B35" s="35" t="s">
        <v>69</v>
      </c>
      <c r="C35" s="24" t="s">
        <v>110</v>
      </c>
      <c r="D35" s="23" t="s">
        <v>30</v>
      </c>
      <c r="E35" s="26" t="s">
        <v>120</v>
      </c>
      <c r="F35" s="26" t="s">
        <v>126</v>
      </c>
      <c r="G35" s="27"/>
      <c r="H35" s="23" t="s">
        <v>9</v>
      </c>
      <c r="I35" s="23" t="s">
        <v>54</v>
      </c>
    </row>
    <row r="36" spans="2:9" s="10" customFormat="1" ht="15.75" customHeight="1" x14ac:dyDescent="0.25">
      <c r="B36" s="32"/>
      <c r="C36" s="32"/>
      <c r="D36" s="32"/>
      <c r="E36" s="32"/>
      <c r="F36" s="32"/>
      <c r="G36" s="32"/>
      <c r="H36" s="32"/>
      <c r="I36" s="32"/>
    </row>
    <row r="37" spans="2:9" s="10" customFormat="1" ht="15.75" customHeight="1" x14ac:dyDescent="0.25">
      <c r="B37" s="30" t="s">
        <v>90</v>
      </c>
      <c r="C37" s="40" t="s">
        <v>160</v>
      </c>
      <c r="D37" s="32"/>
      <c r="E37" s="32"/>
      <c r="F37" s="32"/>
      <c r="G37" s="33" t="s">
        <v>58</v>
      </c>
      <c r="H37" s="32"/>
      <c r="I37" s="34">
        <v>6</v>
      </c>
    </row>
    <row r="38" spans="2:9" s="10" customFormat="1" ht="15.75" customHeight="1" x14ac:dyDescent="0.25">
      <c r="B38" s="30" t="s">
        <v>91</v>
      </c>
      <c r="C38" s="40" t="s">
        <v>161</v>
      </c>
      <c r="D38" s="32"/>
      <c r="E38" s="32"/>
      <c r="F38" s="32"/>
      <c r="G38" s="33" t="s">
        <v>58</v>
      </c>
      <c r="H38" s="32"/>
      <c r="I38" s="34">
        <v>4</v>
      </c>
    </row>
    <row r="39" spans="2:9" s="10" customFormat="1" ht="15.75" customHeight="1" x14ac:dyDescent="0.25">
      <c r="B39" s="30" t="s">
        <v>92</v>
      </c>
      <c r="C39" s="40" t="s">
        <v>162</v>
      </c>
      <c r="D39" s="32"/>
      <c r="E39" s="32"/>
      <c r="F39" s="32"/>
      <c r="G39" s="33" t="s">
        <v>58</v>
      </c>
      <c r="H39" s="32"/>
      <c r="I39" s="34">
        <v>5</v>
      </c>
    </row>
    <row r="40" spans="2:9" ht="15.75" customHeight="1" x14ac:dyDescent="0.25">
      <c r="B40" s="40"/>
      <c r="C40" s="40"/>
      <c r="D40" s="40"/>
      <c r="E40" s="40"/>
      <c r="F40" s="40"/>
      <c r="G40" s="40"/>
      <c r="H40" s="40"/>
      <c r="I40" s="40"/>
    </row>
    <row r="41" spans="2:9" s="10" customFormat="1" ht="15.75" customHeight="1" x14ac:dyDescent="0.25">
      <c r="B41" s="23" t="s">
        <v>100</v>
      </c>
      <c r="C41" s="24" t="s">
        <v>111</v>
      </c>
      <c r="D41" s="23" t="s">
        <v>30</v>
      </c>
      <c r="E41" s="26" t="s">
        <v>121</v>
      </c>
      <c r="F41" s="26" t="s">
        <v>127</v>
      </c>
      <c r="G41" s="27"/>
      <c r="H41" s="23" t="s">
        <v>9</v>
      </c>
      <c r="I41" s="23" t="s">
        <v>54</v>
      </c>
    </row>
    <row r="42" spans="2:9" s="10" customFormat="1" ht="15.75" customHeight="1" x14ac:dyDescent="0.25">
      <c r="B42" s="32"/>
      <c r="C42" s="32"/>
      <c r="D42" s="32"/>
      <c r="E42" s="32"/>
      <c r="F42" s="32"/>
      <c r="G42" s="32"/>
      <c r="H42" s="32"/>
      <c r="I42" s="32"/>
    </row>
    <row r="43" spans="2:9" s="10" customFormat="1" ht="15.75" customHeight="1" x14ac:dyDescent="0.25">
      <c r="B43" s="30" t="s">
        <v>130</v>
      </c>
      <c r="C43" s="40" t="s">
        <v>163</v>
      </c>
      <c r="D43" s="32"/>
      <c r="E43" s="32"/>
      <c r="F43" s="32"/>
      <c r="G43" s="33" t="s">
        <v>58</v>
      </c>
      <c r="H43" s="32"/>
      <c r="I43" s="34">
        <v>6</v>
      </c>
    </row>
    <row r="44" spans="2:9" s="10" customFormat="1" ht="15.75" customHeight="1" x14ac:dyDescent="0.25">
      <c r="B44" s="30" t="s">
        <v>131</v>
      </c>
      <c r="C44" s="40" t="s">
        <v>164</v>
      </c>
      <c r="D44" s="32"/>
      <c r="E44" s="32"/>
      <c r="F44" s="32"/>
      <c r="G44" s="33" t="s">
        <v>58</v>
      </c>
      <c r="H44" s="32"/>
      <c r="I44" s="34">
        <v>4</v>
      </c>
    </row>
    <row r="45" spans="2:9" s="10" customFormat="1" ht="15.75" customHeight="1" x14ac:dyDescent="0.25">
      <c r="B45" s="30" t="s">
        <v>132</v>
      </c>
      <c r="C45" s="40" t="s">
        <v>165</v>
      </c>
      <c r="D45" s="32"/>
      <c r="E45" s="32"/>
      <c r="F45" s="32"/>
      <c r="G45" s="33" t="s">
        <v>58</v>
      </c>
      <c r="H45" s="32"/>
      <c r="I45" s="34">
        <v>5</v>
      </c>
    </row>
    <row r="46" spans="2:9" ht="15.75" customHeight="1" x14ac:dyDescent="0.25">
      <c r="B46" s="40"/>
      <c r="C46" s="40"/>
      <c r="D46" s="40"/>
      <c r="E46" s="40"/>
      <c r="F46" s="40"/>
      <c r="G46" s="40"/>
      <c r="H46" s="40"/>
      <c r="I46" s="40"/>
    </row>
    <row r="47" spans="2:9" s="10" customFormat="1" ht="15.75" customHeight="1" x14ac:dyDescent="0.25">
      <c r="B47" s="23" t="s">
        <v>101</v>
      </c>
      <c r="C47" s="24" t="s">
        <v>112</v>
      </c>
      <c r="D47" s="23" t="s">
        <v>30</v>
      </c>
      <c r="E47" s="26" t="s">
        <v>122</v>
      </c>
      <c r="F47" s="26" t="s">
        <v>128</v>
      </c>
      <c r="G47" s="27"/>
      <c r="H47" s="23" t="s">
        <v>9</v>
      </c>
      <c r="I47" s="23" t="s">
        <v>54</v>
      </c>
    </row>
    <row r="48" spans="2:9" s="10" customFormat="1" ht="15.75" customHeight="1" x14ac:dyDescent="0.25">
      <c r="B48" s="32"/>
      <c r="C48" s="32"/>
      <c r="D48" s="32"/>
      <c r="E48" s="32"/>
      <c r="F48" s="32"/>
      <c r="G48" s="32"/>
      <c r="H48" s="32"/>
      <c r="I48" s="32"/>
    </row>
    <row r="49" spans="2:9" s="10" customFormat="1" ht="15.75" customHeight="1" x14ac:dyDescent="0.25">
      <c r="B49" s="30" t="s">
        <v>136</v>
      </c>
      <c r="C49" s="40" t="s">
        <v>166</v>
      </c>
      <c r="D49" s="32"/>
      <c r="E49" s="32"/>
      <c r="F49" s="32"/>
      <c r="G49" s="36" t="s">
        <v>59</v>
      </c>
      <c r="H49" s="32"/>
      <c r="I49" s="34">
        <v>6</v>
      </c>
    </row>
    <row r="50" spans="2:9" s="10" customFormat="1" ht="15.75" customHeight="1" x14ac:dyDescent="0.25">
      <c r="B50" s="30" t="s">
        <v>137</v>
      </c>
      <c r="C50" s="40" t="s">
        <v>167</v>
      </c>
      <c r="D50" s="32"/>
      <c r="E50" s="32"/>
      <c r="F50" s="32"/>
      <c r="G50" s="36" t="s">
        <v>59</v>
      </c>
      <c r="H50" s="32"/>
      <c r="I50" s="34">
        <v>4</v>
      </c>
    </row>
    <row r="51" spans="2:9" s="10" customFormat="1" ht="15.75" customHeight="1" x14ac:dyDescent="0.25">
      <c r="B51" s="30" t="s">
        <v>138</v>
      </c>
      <c r="C51" s="40" t="s">
        <v>168</v>
      </c>
      <c r="D51" s="32"/>
      <c r="E51" s="32"/>
      <c r="F51" s="32"/>
      <c r="G51" s="36" t="s">
        <v>59</v>
      </c>
      <c r="H51" s="32"/>
      <c r="I51" s="34">
        <v>5</v>
      </c>
    </row>
    <row r="52" spans="2:9" ht="15.75" customHeight="1" x14ac:dyDescent="0.25">
      <c r="B52" s="40"/>
      <c r="C52" s="40"/>
      <c r="D52" s="40"/>
      <c r="E52" s="40"/>
      <c r="F52" s="40"/>
      <c r="G52" s="40"/>
      <c r="H52" s="40"/>
      <c r="I52" s="40"/>
    </row>
    <row r="53" spans="2:9" s="10" customFormat="1" ht="15.75" customHeight="1" x14ac:dyDescent="0.25">
      <c r="B53" s="23" t="s">
        <v>102</v>
      </c>
      <c r="C53" s="24" t="s">
        <v>113</v>
      </c>
      <c r="D53" s="23" t="s">
        <v>30</v>
      </c>
      <c r="E53" s="26" t="s">
        <v>123</v>
      </c>
      <c r="F53" s="26" t="s">
        <v>129</v>
      </c>
      <c r="G53" s="27"/>
      <c r="H53" s="23" t="s">
        <v>9</v>
      </c>
      <c r="I53" s="23" t="s">
        <v>54</v>
      </c>
    </row>
    <row r="54" spans="2:9" s="10" customFormat="1" ht="15.75" customHeight="1" x14ac:dyDescent="0.25">
      <c r="B54" s="32"/>
      <c r="C54" s="32"/>
      <c r="D54" s="32"/>
      <c r="E54" s="32"/>
      <c r="F54" s="32"/>
      <c r="G54" s="32"/>
      <c r="H54" s="32"/>
      <c r="I54" s="32"/>
    </row>
    <row r="55" spans="2:9" s="10" customFormat="1" ht="15.75" customHeight="1" x14ac:dyDescent="0.25">
      <c r="B55" s="30" t="s">
        <v>142</v>
      </c>
      <c r="C55" s="40" t="s">
        <v>169</v>
      </c>
      <c r="D55" s="32"/>
      <c r="E55" s="32"/>
      <c r="F55" s="32"/>
      <c r="G55" s="36" t="s">
        <v>59</v>
      </c>
      <c r="H55" s="32"/>
      <c r="I55" s="34">
        <v>6</v>
      </c>
    </row>
    <row r="56" spans="2:9" s="10" customFormat="1" ht="15.75" customHeight="1" x14ac:dyDescent="0.25">
      <c r="B56" s="30" t="s">
        <v>143</v>
      </c>
      <c r="C56" s="40" t="s">
        <v>170</v>
      </c>
      <c r="D56" s="32"/>
      <c r="E56" s="32"/>
      <c r="F56" s="32"/>
      <c r="G56" s="36" t="s">
        <v>59</v>
      </c>
      <c r="H56" s="32"/>
      <c r="I56" s="34">
        <v>4</v>
      </c>
    </row>
    <row r="57" spans="2:9" s="10" customFormat="1" ht="15.75" customHeight="1" x14ac:dyDescent="0.25">
      <c r="B57" s="30" t="s">
        <v>144</v>
      </c>
      <c r="C57" s="40" t="s">
        <v>171</v>
      </c>
      <c r="D57" s="32"/>
      <c r="E57" s="32"/>
      <c r="F57" s="32"/>
      <c r="G57" s="36" t="s">
        <v>59</v>
      </c>
      <c r="H57" s="32"/>
      <c r="I57" s="34">
        <v>5</v>
      </c>
    </row>
    <row r="58" spans="2:9" ht="15.75" customHeight="1" x14ac:dyDescent="0.25">
      <c r="B58" s="40"/>
      <c r="C58" s="40"/>
      <c r="D58" s="40"/>
      <c r="E58" s="40"/>
      <c r="F58" s="40"/>
      <c r="G58" s="40"/>
      <c r="H58" s="40"/>
      <c r="I58" s="40"/>
    </row>
    <row r="59" spans="2:9" s="10" customFormat="1" ht="15.75" customHeight="1" x14ac:dyDescent="0.25">
      <c r="B59" s="23" t="s">
        <v>103</v>
      </c>
      <c r="C59" s="25" t="s">
        <v>109</v>
      </c>
      <c r="D59" s="25" t="s">
        <v>114</v>
      </c>
      <c r="E59" s="26" t="s">
        <v>124</v>
      </c>
      <c r="F59" s="26" t="s">
        <v>125</v>
      </c>
      <c r="G59" s="27"/>
      <c r="H59" s="23" t="s">
        <v>9</v>
      </c>
      <c r="I59" s="23" t="s">
        <v>54</v>
      </c>
    </row>
    <row r="60" spans="2:9" s="10" customFormat="1" ht="15.75" customHeight="1" x14ac:dyDescent="0.25">
      <c r="B60" s="32"/>
      <c r="C60" s="32"/>
      <c r="D60" s="32"/>
      <c r="E60" s="32"/>
      <c r="F60" s="32"/>
      <c r="G60" s="32"/>
      <c r="H60" s="32"/>
      <c r="I60" s="32"/>
    </row>
    <row r="61" spans="2:9" s="10" customFormat="1" ht="15.75" customHeight="1" x14ac:dyDescent="0.25">
      <c r="B61" s="30" t="s">
        <v>148</v>
      </c>
      <c r="C61" s="40" t="s">
        <v>145</v>
      </c>
      <c r="D61" s="32"/>
      <c r="E61" s="32"/>
      <c r="F61" s="32"/>
      <c r="G61" s="33" t="s">
        <v>43</v>
      </c>
      <c r="H61" s="32"/>
      <c r="I61" s="34">
        <v>6</v>
      </c>
    </row>
    <row r="62" spans="2:9" s="10" customFormat="1" ht="15.75" customHeight="1" x14ac:dyDescent="0.25">
      <c r="B62" s="30" t="s">
        <v>149</v>
      </c>
      <c r="C62" s="40" t="s">
        <v>146</v>
      </c>
      <c r="D62" s="32"/>
      <c r="E62" s="32"/>
      <c r="F62" s="32"/>
      <c r="G62" s="33" t="s">
        <v>43</v>
      </c>
      <c r="H62" s="32"/>
      <c r="I62" s="34">
        <v>4</v>
      </c>
    </row>
    <row r="63" spans="2:9" s="10" customFormat="1" ht="15.75" customHeight="1" x14ac:dyDescent="0.25">
      <c r="B63" s="30" t="s">
        <v>150</v>
      </c>
      <c r="C63" s="40" t="s">
        <v>147</v>
      </c>
      <c r="D63" s="32"/>
      <c r="E63" s="32"/>
      <c r="F63" s="32"/>
      <c r="G63" s="33" t="s">
        <v>43</v>
      </c>
      <c r="H63" s="32"/>
      <c r="I63" s="34">
        <v>5</v>
      </c>
    </row>
    <row r="64" spans="2:9" ht="15.75" customHeight="1" x14ac:dyDescent="0.25">
      <c r="B64" s="40"/>
      <c r="C64" s="40"/>
      <c r="D64" s="40"/>
      <c r="E64" s="40"/>
      <c r="F64" s="40"/>
      <c r="G64" s="40"/>
      <c r="H64" s="40"/>
      <c r="I64" s="40"/>
    </row>
    <row r="65" spans="2:9" s="10" customFormat="1" ht="15.75" customHeight="1" x14ac:dyDescent="0.25">
      <c r="B65" s="23" t="s">
        <v>104</v>
      </c>
      <c r="C65" s="24" t="s">
        <v>67</v>
      </c>
      <c r="D65" s="35" t="s">
        <v>30</v>
      </c>
      <c r="E65" s="39" t="s">
        <v>73</v>
      </c>
      <c r="F65" s="35" t="s">
        <v>57</v>
      </c>
      <c r="G65" s="39"/>
      <c r="H65" s="35" t="s">
        <v>9</v>
      </c>
      <c r="I65" s="23" t="s">
        <v>115</v>
      </c>
    </row>
    <row r="66" spans="2:9" s="10" customFormat="1" ht="15.75" customHeight="1" x14ac:dyDescent="0.25">
      <c r="B66" s="32"/>
      <c r="C66" s="32"/>
      <c r="D66" s="32"/>
      <c r="E66" s="32"/>
      <c r="F66" s="32"/>
      <c r="G66" s="32"/>
      <c r="H66" s="32"/>
      <c r="I66" s="32"/>
    </row>
    <row r="67" spans="2:9" s="10" customFormat="1" ht="15.75" customHeight="1" x14ac:dyDescent="0.25">
      <c r="B67" s="30" t="s">
        <v>151</v>
      </c>
      <c r="C67" s="32" t="s">
        <v>93</v>
      </c>
      <c r="D67" s="32"/>
      <c r="E67" s="32"/>
      <c r="F67" s="32"/>
      <c r="G67" s="33" t="s">
        <v>60</v>
      </c>
      <c r="H67" s="32"/>
      <c r="I67" s="34">
        <v>6</v>
      </c>
    </row>
    <row r="68" spans="2:9" s="10" customFormat="1" ht="15.75" customHeight="1" x14ac:dyDescent="0.25">
      <c r="B68" s="30" t="s">
        <v>152</v>
      </c>
      <c r="C68" s="32" t="s">
        <v>95</v>
      </c>
      <c r="D68" s="32"/>
      <c r="E68" s="32"/>
      <c r="F68" s="32"/>
      <c r="G68" s="33" t="s">
        <v>60</v>
      </c>
      <c r="H68" s="32"/>
      <c r="I68" s="34">
        <v>4</v>
      </c>
    </row>
    <row r="69" spans="2:9" s="10" customFormat="1" ht="15.75" customHeight="1" x14ac:dyDescent="0.25">
      <c r="B69" s="30" t="s">
        <v>153</v>
      </c>
      <c r="C69" s="32" t="s">
        <v>94</v>
      </c>
      <c r="D69" s="32"/>
      <c r="E69" s="32"/>
      <c r="F69" s="32"/>
      <c r="G69" s="33" t="s">
        <v>60</v>
      </c>
      <c r="H69" s="32"/>
      <c r="I69" s="34">
        <v>5</v>
      </c>
    </row>
    <row r="70" spans="2:9" ht="15.75" customHeight="1" x14ac:dyDescent="0.25">
      <c r="B70" s="40"/>
      <c r="C70" s="40"/>
      <c r="D70" s="40"/>
      <c r="E70" s="40"/>
      <c r="F70" s="40"/>
      <c r="G70" s="40"/>
      <c r="H70" s="40"/>
      <c r="I70" s="40"/>
    </row>
    <row r="71" spans="2:9" s="10" customFormat="1" ht="15.75" customHeight="1" x14ac:dyDescent="0.25">
      <c r="B71" s="23" t="s">
        <v>105</v>
      </c>
      <c r="C71" s="24" t="s">
        <v>108</v>
      </c>
      <c r="D71" s="25" t="s">
        <v>114</v>
      </c>
      <c r="E71" s="26" t="s">
        <v>118</v>
      </c>
      <c r="F71" s="26" t="s">
        <v>119</v>
      </c>
      <c r="G71" s="23"/>
      <c r="H71" s="23" t="s">
        <v>9</v>
      </c>
      <c r="I71" s="23" t="s">
        <v>54</v>
      </c>
    </row>
    <row r="72" spans="2:9" s="10" customFormat="1" ht="15.75" customHeight="1" x14ac:dyDescent="0.25">
      <c r="B72" s="32"/>
      <c r="C72" s="32"/>
      <c r="D72" s="32"/>
      <c r="E72" s="32"/>
      <c r="F72" s="32"/>
      <c r="G72" s="32"/>
      <c r="H72" s="32"/>
      <c r="I72" s="32"/>
    </row>
    <row r="73" spans="2:9" s="10" customFormat="1" ht="15.75" customHeight="1" x14ac:dyDescent="0.25">
      <c r="B73" s="30" t="s">
        <v>154</v>
      </c>
      <c r="C73" s="40" t="s">
        <v>139</v>
      </c>
      <c r="D73" s="32"/>
      <c r="E73" s="32"/>
      <c r="F73" s="32"/>
      <c r="G73" s="33" t="s">
        <v>43</v>
      </c>
      <c r="H73" s="32"/>
      <c r="I73" s="34">
        <v>6</v>
      </c>
    </row>
    <row r="74" spans="2:9" s="10" customFormat="1" ht="15.75" customHeight="1" x14ac:dyDescent="0.25">
      <c r="B74" s="30" t="s">
        <v>155</v>
      </c>
      <c r="C74" s="40" t="s">
        <v>140</v>
      </c>
      <c r="D74" s="32"/>
      <c r="E74" s="32"/>
      <c r="F74" s="32"/>
      <c r="G74" s="33" t="s">
        <v>43</v>
      </c>
      <c r="H74" s="32"/>
      <c r="I74" s="34">
        <v>4</v>
      </c>
    </row>
    <row r="75" spans="2:9" s="10" customFormat="1" ht="15.75" customHeight="1" x14ac:dyDescent="0.25">
      <c r="B75" s="30" t="s">
        <v>156</v>
      </c>
      <c r="C75" s="40" t="s">
        <v>141</v>
      </c>
      <c r="D75" s="32"/>
      <c r="E75" s="32"/>
      <c r="F75" s="32"/>
      <c r="G75" s="33" t="s">
        <v>43</v>
      </c>
      <c r="H75" s="32"/>
      <c r="I75" s="34">
        <v>5</v>
      </c>
    </row>
    <row r="76" spans="2:9" ht="15.75" customHeight="1" x14ac:dyDescent="0.25">
      <c r="B76" s="40"/>
      <c r="C76" s="40"/>
      <c r="D76" s="40"/>
      <c r="E76" s="40"/>
      <c r="F76" s="40"/>
      <c r="G76" s="40"/>
      <c r="H76" s="40"/>
      <c r="I76" s="40"/>
    </row>
    <row r="77" spans="2:9" s="10" customFormat="1" ht="15.75" customHeight="1" x14ac:dyDescent="0.25">
      <c r="B77" s="23" t="s">
        <v>106</v>
      </c>
      <c r="C77" s="24" t="s">
        <v>107</v>
      </c>
      <c r="D77" s="23" t="s">
        <v>30</v>
      </c>
      <c r="E77" s="26" t="s">
        <v>116</v>
      </c>
      <c r="F77" s="26" t="s">
        <v>117</v>
      </c>
      <c r="G77" s="27"/>
      <c r="H77" s="23" t="s">
        <v>9</v>
      </c>
      <c r="I77" s="23" t="s">
        <v>54</v>
      </c>
    </row>
    <row r="78" spans="2:9" s="10" customFormat="1" ht="15.75" customHeight="1" x14ac:dyDescent="0.25">
      <c r="B78" s="32"/>
      <c r="C78" s="32"/>
      <c r="D78" s="32"/>
      <c r="E78" s="32"/>
      <c r="F78" s="32"/>
      <c r="G78" s="32"/>
      <c r="H78" s="32"/>
      <c r="I78" s="32"/>
    </row>
    <row r="79" spans="2:9" s="10" customFormat="1" ht="15.75" customHeight="1" x14ac:dyDescent="0.25">
      <c r="B79" s="30" t="s">
        <v>157</v>
      </c>
      <c r="C79" s="40" t="s">
        <v>133</v>
      </c>
      <c r="D79" s="32"/>
      <c r="E79" s="32"/>
      <c r="F79" s="32"/>
      <c r="G79" s="33" t="s">
        <v>60</v>
      </c>
      <c r="H79" s="32"/>
      <c r="I79" s="34">
        <v>6</v>
      </c>
    </row>
    <row r="80" spans="2:9" s="10" customFormat="1" ht="15.75" customHeight="1" x14ac:dyDescent="0.25">
      <c r="B80" s="30" t="s">
        <v>158</v>
      </c>
      <c r="C80" s="40" t="s">
        <v>134</v>
      </c>
      <c r="D80" s="32"/>
      <c r="E80" s="32"/>
      <c r="F80" s="32"/>
      <c r="G80" s="33" t="s">
        <v>60</v>
      </c>
      <c r="H80" s="32"/>
      <c r="I80" s="34">
        <v>4</v>
      </c>
    </row>
    <row r="81" spans="2:9" s="10" customFormat="1" ht="15.75" customHeight="1" x14ac:dyDescent="0.25">
      <c r="B81" s="30" t="s">
        <v>159</v>
      </c>
      <c r="C81" s="40" t="s">
        <v>135</v>
      </c>
      <c r="D81" s="32"/>
      <c r="E81" s="32"/>
      <c r="F81" s="32"/>
      <c r="G81" s="33" t="s">
        <v>60</v>
      </c>
      <c r="H81" s="32"/>
      <c r="I81" s="34">
        <v>5</v>
      </c>
    </row>
    <row r="82" spans="2:9" ht="15.75" customHeight="1" x14ac:dyDescent="0.25"/>
    <row r="83" spans="2:9" ht="15.75" customHeight="1" x14ac:dyDescent="0.25"/>
    <row r="84" spans="2:9" ht="15.75" customHeight="1" x14ac:dyDescent="0.25"/>
    <row r="85" spans="2:9" ht="15.75" customHeight="1" x14ac:dyDescent="0.25"/>
    <row r="86" spans="2:9" ht="15.75" customHeight="1" x14ac:dyDescent="0.25"/>
    <row r="87" spans="2:9" ht="15.75" customHeight="1" x14ac:dyDescent="0.25"/>
    <row r="88" spans="2:9" ht="15.75" customHeight="1" x14ac:dyDescent="0.25"/>
    <row r="89" spans="2:9" ht="15.75" customHeight="1" x14ac:dyDescent="0.25"/>
    <row r="90" spans="2:9" ht="15.75" customHeight="1" x14ac:dyDescent="0.25"/>
    <row r="91" spans="2:9" ht="15.75" customHeight="1" x14ac:dyDescent="0.25"/>
    <row r="92" spans="2:9" ht="15.75" customHeight="1" x14ac:dyDescent="0.25"/>
    <row r="93" spans="2:9" ht="15.75" customHeight="1" x14ac:dyDescent="0.25"/>
    <row r="94" spans="2:9" ht="15.75" customHeight="1" x14ac:dyDescent="0.25"/>
    <row r="95" spans="2:9" ht="15.75" customHeight="1" x14ac:dyDescent="0.25"/>
    <row r="96" spans="2:9" ht="15.75" customHeight="1" x14ac:dyDescent="0.25"/>
    <row r="97" customFormat="1" ht="15.75" customHeight="1" x14ac:dyDescent="0.25"/>
    <row r="98" customFormat="1" ht="15.75" customHeight="1" x14ac:dyDescent="0.25"/>
    <row r="99" customFormat="1" ht="15.75" customHeight="1" x14ac:dyDescent="0.25"/>
    <row r="100" customFormat="1" ht="15.75" customHeight="1" x14ac:dyDescent="0.25"/>
    <row r="101" customFormat="1" ht="15.75" customHeight="1" x14ac:dyDescent="0.25"/>
    <row r="102" customFormat="1" ht="15.75" customHeight="1" x14ac:dyDescent="0.25"/>
    <row r="103" customFormat="1" ht="15.75" customHeight="1" x14ac:dyDescent="0.25"/>
    <row r="104" customFormat="1" ht="15.75" customHeight="1" x14ac:dyDescent="0.25"/>
    <row r="105" customFormat="1" ht="15.75" customHeight="1" x14ac:dyDescent="0.25"/>
    <row r="106" customFormat="1" ht="15.75" customHeight="1" x14ac:dyDescent="0.25"/>
    <row r="107" customFormat="1" ht="15.75" customHeight="1" x14ac:dyDescent="0.25"/>
    <row r="108" customFormat="1" ht="15.75" customHeight="1" x14ac:dyDescent="0.25"/>
    <row r="109" customFormat="1" ht="15.75" customHeight="1" x14ac:dyDescent="0.25"/>
    <row r="110" customFormat="1" ht="15.75" customHeight="1" x14ac:dyDescent="0.25"/>
    <row r="111" customFormat="1" ht="15.75" customHeight="1" x14ac:dyDescent="0.25"/>
    <row r="112" customFormat="1" ht="15.75" customHeight="1" x14ac:dyDescent="0.25"/>
    <row r="113" customFormat="1" ht="15.75" customHeight="1" x14ac:dyDescent="0.25"/>
    <row r="114" customFormat="1" ht="15.75" customHeight="1" x14ac:dyDescent="0.25"/>
    <row r="115" customFormat="1" ht="15.75" customHeight="1" x14ac:dyDescent="0.25"/>
    <row r="116" customFormat="1" ht="15.75" customHeight="1" x14ac:dyDescent="0.25"/>
    <row r="117" customFormat="1" ht="15.75" customHeight="1" x14ac:dyDescent="0.25"/>
    <row r="118" customFormat="1" ht="15.75" customHeight="1" x14ac:dyDescent="0.25"/>
    <row r="119" customFormat="1" ht="15.75" customHeight="1" x14ac:dyDescent="0.25"/>
    <row r="120" customFormat="1" ht="15.75" customHeight="1" x14ac:dyDescent="0.25"/>
    <row r="121" customFormat="1" ht="15.75" customHeight="1" x14ac:dyDescent="0.25"/>
    <row r="122" customFormat="1" ht="15.75" customHeight="1" x14ac:dyDescent="0.25"/>
    <row r="123" customFormat="1" ht="15.75" customHeight="1" x14ac:dyDescent="0.25"/>
    <row r="124" customFormat="1" ht="15.75" customHeight="1" x14ac:dyDescent="0.25"/>
    <row r="125" customFormat="1" ht="15.75" customHeight="1" x14ac:dyDescent="0.25"/>
    <row r="126" customFormat="1" ht="15.75" customHeight="1" x14ac:dyDescent="0.25"/>
    <row r="127" customFormat="1" ht="15.75" customHeight="1" x14ac:dyDescent="0.25"/>
    <row r="128" customFormat="1" ht="15.75" customHeight="1" x14ac:dyDescent="0.25"/>
    <row r="129" customFormat="1" ht="15.75" customHeight="1" x14ac:dyDescent="0.25"/>
    <row r="130" customFormat="1" ht="15.75" customHeight="1" x14ac:dyDescent="0.25"/>
    <row r="131" customFormat="1" ht="15.75" customHeight="1" x14ac:dyDescent="0.25"/>
    <row r="132" customFormat="1" ht="15.75" customHeight="1" x14ac:dyDescent="0.25"/>
    <row r="133" customFormat="1" ht="15.75" customHeight="1" x14ac:dyDescent="0.25"/>
    <row r="134" customFormat="1" ht="15.75" customHeight="1" x14ac:dyDescent="0.25"/>
    <row r="135" customFormat="1" ht="15.75" customHeight="1" x14ac:dyDescent="0.25"/>
    <row r="136" customFormat="1" ht="15.75" customHeight="1" x14ac:dyDescent="0.25"/>
    <row r="137" customFormat="1" ht="15.75" customHeight="1" x14ac:dyDescent="0.25"/>
    <row r="138" customFormat="1" ht="15.75" customHeight="1" x14ac:dyDescent="0.25"/>
    <row r="139" customFormat="1" ht="15.75" customHeight="1" x14ac:dyDescent="0.25"/>
    <row r="140" customFormat="1" ht="15.75" customHeight="1" x14ac:dyDescent="0.25"/>
    <row r="141" customFormat="1" ht="15.75" customHeight="1" x14ac:dyDescent="0.25"/>
    <row r="142" customFormat="1" ht="15.75" customHeight="1" x14ac:dyDescent="0.25"/>
    <row r="143" customFormat="1" ht="15.75" customHeight="1" x14ac:dyDescent="0.25"/>
    <row r="144" customFormat="1" ht="15.75" customHeight="1" x14ac:dyDescent="0.25"/>
    <row r="145" customFormat="1" ht="15.75" customHeight="1" x14ac:dyDescent="0.25"/>
    <row r="146" customFormat="1" ht="15.75" customHeight="1" x14ac:dyDescent="0.25"/>
    <row r="147" customFormat="1" ht="15.75" customHeight="1" x14ac:dyDescent="0.25"/>
    <row r="148" customFormat="1" ht="15.75" customHeight="1" x14ac:dyDescent="0.25"/>
    <row r="149" customFormat="1" ht="15.75" customHeight="1" x14ac:dyDescent="0.25"/>
    <row r="150" customFormat="1" ht="15.75" customHeight="1" x14ac:dyDescent="0.25"/>
    <row r="151" customFormat="1" ht="15.75" customHeight="1" x14ac:dyDescent="0.25"/>
    <row r="152" customFormat="1" ht="15.75" customHeight="1" x14ac:dyDescent="0.25"/>
    <row r="153" customFormat="1" ht="15.75" customHeight="1" x14ac:dyDescent="0.25"/>
    <row r="154" customFormat="1" ht="15.75" customHeight="1" x14ac:dyDescent="0.25"/>
    <row r="155" customFormat="1" ht="15.75" customHeight="1" x14ac:dyDescent="0.25"/>
    <row r="156" customFormat="1" ht="15.75" customHeight="1" x14ac:dyDescent="0.25"/>
    <row r="157" customFormat="1" ht="15.75" customHeight="1" x14ac:dyDescent="0.25"/>
    <row r="158" customFormat="1" ht="15.75" customHeight="1" x14ac:dyDescent="0.25"/>
    <row r="159" customFormat="1" ht="15.75" customHeight="1" x14ac:dyDescent="0.25"/>
    <row r="160" customFormat="1" ht="15.75" customHeight="1" x14ac:dyDescent="0.25"/>
    <row r="161" customFormat="1" ht="15.75" customHeight="1" x14ac:dyDescent="0.25"/>
    <row r="162" customFormat="1" ht="15.75" customHeight="1" x14ac:dyDescent="0.25"/>
    <row r="163" customFormat="1" ht="15.75" customHeight="1" x14ac:dyDescent="0.25"/>
    <row r="164" customFormat="1" ht="15.75" customHeight="1" x14ac:dyDescent="0.25"/>
    <row r="165" customFormat="1" ht="15.75" customHeight="1" x14ac:dyDescent="0.25"/>
    <row r="166" customFormat="1" ht="15.75" customHeight="1" x14ac:dyDescent="0.25"/>
    <row r="167" customFormat="1" ht="15.75" customHeight="1" x14ac:dyDescent="0.25"/>
    <row r="168" customFormat="1" ht="15.75" customHeight="1" x14ac:dyDescent="0.25"/>
    <row r="169" customFormat="1" ht="15.75" customHeight="1" x14ac:dyDescent="0.25"/>
    <row r="170" customFormat="1" ht="15.75" customHeight="1" x14ac:dyDescent="0.25"/>
    <row r="171" customFormat="1" ht="15.75" customHeight="1" x14ac:dyDescent="0.25"/>
    <row r="172" customFormat="1" ht="15.75" customHeight="1" x14ac:dyDescent="0.25"/>
    <row r="173" customFormat="1" ht="15.75" customHeight="1" x14ac:dyDescent="0.25"/>
    <row r="174" customFormat="1" ht="15.75" customHeight="1" x14ac:dyDescent="0.25"/>
    <row r="175" customFormat="1" ht="15.75" customHeight="1" x14ac:dyDescent="0.25"/>
    <row r="176" customFormat="1" ht="15.75" customHeight="1" x14ac:dyDescent="0.25"/>
    <row r="177" customFormat="1" ht="15.75" customHeight="1" x14ac:dyDescent="0.25"/>
    <row r="178" customFormat="1" ht="15.75" customHeight="1" x14ac:dyDescent="0.25"/>
    <row r="179" customFormat="1" ht="15.75" customHeight="1" x14ac:dyDescent="0.25"/>
    <row r="180" customFormat="1" ht="15.75" customHeight="1" x14ac:dyDescent="0.25"/>
    <row r="181" customFormat="1" ht="15.75" customHeight="1" x14ac:dyDescent="0.25"/>
    <row r="182" customFormat="1" ht="15.75" customHeight="1" x14ac:dyDescent="0.25"/>
    <row r="183" customFormat="1" ht="15.75" customHeight="1" x14ac:dyDescent="0.25"/>
    <row r="184" customFormat="1" ht="15.75" customHeight="1" x14ac:dyDescent="0.25"/>
    <row r="185" customFormat="1" ht="15.75" customHeight="1" x14ac:dyDescent="0.25"/>
    <row r="186" customFormat="1" ht="15.75" customHeight="1" x14ac:dyDescent="0.25"/>
    <row r="187" customFormat="1" ht="15.75" customHeight="1" x14ac:dyDescent="0.25"/>
    <row r="188" customFormat="1" ht="15.75" customHeight="1" x14ac:dyDescent="0.25"/>
    <row r="189" customFormat="1" ht="15.75" customHeight="1" x14ac:dyDescent="0.25"/>
    <row r="190" customFormat="1" ht="15.75" customHeight="1" x14ac:dyDescent="0.25"/>
    <row r="191" customFormat="1" ht="15.75" customHeight="1" x14ac:dyDescent="0.25"/>
    <row r="192" customFormat="1" ht="15.75" customHeight="1" x14ac:dyDescent="0.25"/>
    <row r="193" customFormat="1" ht="15.75" customHeight="1" x14ac:dyDescent="0.25"/>
    <row r="194" customFormat="1" ht="15.75" customHeight="1" x14ac:dyDescent="0.25"/>
    <row r="195" customFormat="1" ht="15.75" customHeight="1" x14ac:dyDescent="0.25"/>
    <row r="196" customFormat="1" ht="15.75" customHeight="1" x14ac:dyDescent="0.25"/>
    <row r="197" customFormat="1" ht="15.75" customHeight="1" x14ac:dyDescent="0.25"/>
    <row r="198" customFormat="1" ht="15.75" customHeight="1" x14ac:dyDescent="0.25"/>
    <row r="199" customFormat="1" ht="15.75" customHeight="1" x14ac:dyDescent="0.25"/>
    <row r="200" customFormat="1" ht="15.75" customHeight="1" x14ac:dyDescent="0.25"/>
    <row r="201" customFormat="1" ht="15.75" customHeight="1" x14ac:dyDescent="0.25"/>
    <row r="202" customFormat="1" ht="15.75" customHeight="1" x14ac:dyDescent="0.25"/>
    <row r="203" customFormat="1" ht="15.75" customHeight="1" x14ac:dyDescent="0.25"/>
    <row r="204" customFormat="1" ht="15.75" customHeight="1" x14ac:dyDescent="0.25"/>
    <row r="205" customFormat="1" ht="15.75" customHeight="1" x14ac:dyDescent="0.25"/>
    <row r="206" customFormat="1" ht="15.75" customHeight="1" x14ac:dyDescent="0.25"/>
    <row r="207" customFormat="1" ht="15.75" customHeight="1" x14ac:dyDescent="0.25"/>
    <row r="208" customFormat="1" ht="15.75" customHeight="1" x14ac:dyDescent="0.25"/>
    <row r="209" customFormat="1" ht="15.75" customHeight="1" x14ac:dyDescent="0.25"/>
    <row r="210" customFormat="1" ht="15.75" customHeight="1" x14ac:dyDescent="0.25"/>
    <row r="211" customFormat="1" ht="15.75" customHeight="1" x14ac:dyDescent="0.25"/>
    <row r="212" customFormat="1" ht="15.75" customHeight="1" x14ac:dyDescent="0.25"/>
    <row r="213" customFormat="1" ht="15.75" customHeight="1" x14ac:dyDescent="0.25"/>
    <row r="214" customFormat="1" ht="15.75" customHeight="1" x14ac:dyDescent="0.25"/>
    <row r="215" customFormat="1" ht="15.75" customHeight="1" x14ac:dyDescent="0.25"/>
    <row r="216" customFormat="1" ht="15.75" customHeight="1" x14ac:dyDescent="0.25"/>
    <row r="217" customFormat="1" ht="15.75" customHeight="1" x14ac:dyDescent="0.25"/>
    <row r="218" customFormat="1" ht="15.75" customHeight="1" x14ac:dyDescent="0.25"/>
    <row r="219" customFormat="1" ht="15.75" customHeight="1" x14ac:dyDescent="0.25"/>
    <row r="220" customFormat="1" ht="15.75" customHeight="1" x14ac:dyDescent="0.25"/>
    <row r="221" customFormat="1" ht="15.75" customHeight="1" x14ac:dyDescent="0.25"/>
    <row r="222" customFormat="1" ht="15.75" customHeight="1" x14ac:dyDescent="0.25"/>
    <row r="223" customFormat="1" ht="15.75" customHeight="1" x14ac:dyDescent="0.25"/>
    <row r="224" customFormat="1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</sheetData>
  <mergeCells count="13">
    <mergeCell ref="C15:F15"/>
    <mergeCell ref="C26:F26"/>
    <mergeCell ref="C27:F27"/>
    <mergeCell ref="C19:F19"/>
    <mergeCell ref="C20:F20"/>
    <mergeCell ref="C21:F21"/>
    <mergeCell ref="C25:F25"/>
    <mergeCell ref="C14:F14"/>
    <mergeCell ref="C6:F6"/>
    <mergeCell ref="C7:F7"/>
    <mergeCell ref="C8:F8"/>
    <mergeCell ref="C12:F12"/>
    <mergeCell ref="C13:F13"/>
  </mergeCells>
  <phoneticPr fontId="4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94"/>
  <sheetViews>
    <sheetView zoomScale="66" zoomScaleNormal="66" workbookViewId="0">
      <selection activeCell="D26" sqref="D26"/>
    </sheetView>
  </sheetViews>
  <sheetFormatPr baseColWidth="10" defaultColWidth="12.5546875" defaultRowHeight="15" customHeight="1" x14ac:dyDescent="0.25"/>
  <cols>
    <col min="1" max="1" width="12.44140625" style="12" customWidth="1"/>
    <col min="2" max="2" width="47" style="12" customWidth="1"/>
    <col min="3" max="3" width="36" style="12" customWidth="1"/>
    <col min="4" max="4" width="44.5546875" style="12" customWidth="1"/>
    <col min="5" max="5" width="96.21875" style="12" customWidth="1"/>
    <col min="6" max="26" width="12.44140625" style="12" customWidth="1"/>
    <col min="27" max="16384" width="12.5546875" style="12"/>
  </cols>
  <sheetData>
    <row r="1" spans="1:8" ht="15.75" customHeight="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</row>
    <row r="2" spans="1:8" ht="15.75" customHeight="1" x14ac:dyDescent="0.25">
      <c r="A2" s="13"/>
      <c r="B2" s="13"/>
      <c r="C2" s="13"/>
      <c r="D2" s="14"/>
      <c r="E2" s="14"/>
      <c r="G2" s="13"/>
      <c r="H2" s="13"/>
    </row>
    <row r="3" spans="1:8" s="15" customFormat="1" ht="15.75" customHeight="1" x14ac:dyDescent="0.25">
      <c r="A3" s="17" t="s">
        <v>8</v>
      </c>
      <c r="B3" s="18" t="s">
        <v>62</v>
      </c>
      <c r="C3" s="17" t="s">
        <v>30</v>
      </c>
      <c r="D3" s="17" t="s">
        <v>52</v>
      </c>
      <c r="E3" s="17" t="s">
        <v>53</v>
      </c>
      <c r="F3" s="19"/>
      <c r="G3" s="17" t="s">
        <v>9</v>
      </c>
      <c r="H3" s="17" t="s">
        <v>115</v>
      </c>
    </row>
    <row r="4" spans="1:8" s="15" customFormat="1" ht="15.75" customHeight="1" x14ac:dyDescent="0.25">
      <c r="A4" s="17" t="s">
        <v>31</v>
      </c>
      <c r="B4" s="18" t="s">
        <v>63</v>
      </c>
      <c r="C4" s="17" t="s">
        <v>30</v>
      </c>
      <c r="D4" s="17" t="s">
        <v>55</v>
      </c>
      <c r="E4" s="17" t="s">
        <v>56</v>
      </c>
      <c r="F4" s="17"/>
      <c r="G4" s="17" t="s">
        <v>9</v>
      </c>
      <c r="H4" s="17" t="s">
        <v>115</v>
      </c>
    </row>
    <row r="5" spans="1:8" s="15" customFormat="1" ht="15.75" customHeight="1" x14ac:dyDescent="0.25">
      <c r="A5" s="17" t="s">
        <v>32</v>
      </c>
      <c r="B5" s="18" t="s">
        <v>64</v>
      </c>
      <c r="C5" s="17" t="s">
        <v>30</v>
      </c>
      <c r="D5" s="17" t="s">
        <v>70</v>
      </c>
      <c r="E5" s="17" t="s">
        <v>74</v>
      </c>
      <c r="F5" s="19"/>
      <c r="G5" s="17" t="s">
        <v>9</v>
      </c>
      <c r="H5" s="17" t="s">
        <v>115</v>
      </c>
    </row>
    <row r="6" spans="1:8" s="15" customFormat="1" ht="15.75" customHeight="1" x14ac:dyDescent="0.25">
      <c r="A6" s="17" t="s">
        <v>33</v>
      </c>
      <c r="B6" s="18" t="s">
        <v>65</v>
      </c>
      <c r="C6" s="17" t="s">
        <v>30</v>
      </c>
      <c r="D6" s="17" t="s">
        <v>71</v>
      </c>
      <c r="E6" s="17" t="s">
        <v>75</v>
      </c>
      <c r="F6" s="19"/>
      <c r="G6" s="17" t="s">
        <v>9</v>
      </c>
      <c r="H6" s="17" t="s">
        <v>115</v>
      </c>
    </row>
    <row r="7" spans="1:8" s="16" customFormat="1" ht="14.1" customHeight="1" x14ac:dyDescent="0.25">
      <c r="A7" s="17" t="s">
        <v>68</v>
      </c>
      <c r="B7" s="20" t="s">
        <v>66</v>
      </c>
      <c r="C7" s="17" t="s">
        <v>30</v>
      </c>
      <c r="D7" s="17" t="s">
        <v>72</v>
      </c>
      <c r="E7" s="17" t="s">
        <v>76</v>
      </c>
      <c r="F7" s="19"/>
      <c r="G7" s="17" t="s">
        <v>9</v>
      </c>
      <c r="H7" s="17" t="s">
        <v>115</v>
      </c>
    </row>
    <row r="8" spans="1:8" ht="15.75" customHeight="1" x14ac:dyDescent="0.25">
      <c r="A8" s="17" t="s">
        <v>69</v>
      </c>
      <c r="B8" s="18" t="s">
        <v>110</v>
      </c>
      <c r="C8" s="17" t="s">
        <v>30</v>
      </c>
      <c r="D8" s="21" t="s">
        <v>120</v>
      </c>
      <c r="E8" s="21" t="s">
        <v>126</v>
      </c>
      <c r="F8" s="19"/>
      <c r="G8" s="17" t="s">
        <v>9</v>
      </c>
      <c r="H8" s="17" t="s">
        <v>115</v>
      </c>
    </row>
    <row r="9" spans="1:8" s="15" customFormat="1" ht="15.75" customHeight="1" x14ac:dyDescent="0.25">
      <c r="A9" s="17" t="s">
        <v>100</v>
      </c>
      <c r="B9" s="18" t="s">
        <v>111</v>
      </c>
      <c r="C9" s="17" t="s">
        <v>30</v>
      </c>
      <c r="D9" s="21" t="s">
        <v>121</v>
      </c>
      <c r="E9" s="21" t="s">
        <v>127</v>
      </c>
      <c r="F9" s="19"/>
      <c r="G9" s="17" t="s">
        <v>9</v>
      </c>
      <c r="H9" s="17" t="s">
        <v>115</v>
      </c>
    </row>
    <row r="10" spans="1:8" s="15" customFormat="1" ht="15.75" customHeight="1" x14ac:dyDescent="0.25">
      <c r="A10" s="17" t="s">
        <v>101</v>
      </c>
      <c r="B10" s="18" t="s">
        <v>112</v>
      </c>
      <c r="C10" s="17" t="s">
        <v>30</v>
      </c>
      <c r="D10" s="21" t="s">
        <v>122</v>
      </c>
      <c r="E10" s="21" t="s">
        <v>128</v>
      </c>
      <c r="F10" s="19"/>
      <c r="G10" s="17" t="s">
        <v>9</v>
      </c>
      <c r="H10" s="17" t="s">
        <v>115</v>
      </c>
    </row>
    <row r="11" spans="1:8" s="15" customFormat="1" ht="15.75" customHeight="1" x14ac:dyDescent="0.25">
      <c r="A11" s="17" t="s">
        <v>102</v>
      </c>
      <c r="B11" s="18" t="s">
        <v>113</v>
      </c>
      <c r="C11" s="17" t="s">
        <v>30</v>
      </c>
      <c r="D11" s="21" t="s">
        <v>123</v>
      </c>
      <c r="E11" s="21" t="s">
        <v>129</v>
      </c>
      <c r="F11" s="19"/>
      <c r="G11" s="17" t="s">
        <v>9</v>
      </c>
      <c r="H11" s="17" t="s">
        <v>115</v>
      </c>
    </row>
    <row r="12" spans="1:8" s="15" customFormat="1" ht="15.75" customHeight="1" x14ac:dyDescent="0.25">
      <c r="A12" s="17" t="s">
        <v>103</v>
      </c>
      <c r="B12" s="22" t="s">
        <v>109</v>
      </c>
      <c r="C12" s="22" t="s">
        <v>114</v>
      </c>
      <c r="D12" s="21" t="s">
        <v>124</v>
      </c>
      <c r="E12" s="21" t="s">
        <v>125</v>
      </c>
      <c r="F12" s="19"/>
      <c r="G12" s="17" t="s">
        <v>9</v>
      </c>
      <c r="H12" s="17" t="s">
        <v>115</v>
      </c>
    </row>
    <row r="13" spans="1:8" s="16" customFormat="1" ht="14.1" customHeight="1" x14ac:dyDescent="0.25">
      <c r="A13" s="17" t="s">
        <v>104</v>
      </c>
      <c r="B13" s="18" t="s">
        <v>67</v>
      </c>
      <c r="C13" s="17" t="s">
        <v>30</v>
      </c>
      <c r="D13" s="19" t="s">
        <v>73</v>
      </c>
      <c r="E13" s="17" t="s">
        <v>57</v>
      </c>
      <c r="F13" s="19"/>
      <c r="G13" s="17" t="s">
        <v>9</v>
      </c>
      <c r="H13" s="17" t="s">
        <v>115</v>
      </c>
    </row>
    <row r="14" spans="1:8" ht="15.75" customHeight="1" x14ac:dyDescent="0.25">
      <c r="A14" s="17" t="s">
        <v>105</v>
      </c>
      <c r="B14" s="18" t="s">
        <v>108</v>
      </c>
      <c r="C14" s="22" t="s">
        <v>114</v>
      </c>
      <c r="D14" s="21" t="s">
        <v>118</v>
      </c>
      <c r="E14" s="21" t="s">
        <v>119</v>
      </c>
      <c r="F14" s="17"/>
      <c r="G14" s="17" t="s">
        <v>9</v>
      </c>
      <c r="H14" s="17" t="s">
        <v>115</v>
      </c>
    </row>
    <row r="15" spans="1:8" ht="15.75" customHeight="1" x14ac:dyDescent="0.25">
      <c r="A15" s="17" t="s">
        <v>106</v>
      </c>
      <c r="B15" s="18" t="s">
        <v>107</v>
      </c>
      <c r="C15" s="17" t="s">
        <v>30</v>
      </c>
      <c r="D15" s="21" t="s">
        <v>116</v>
      </c>
      <c r="E15" s="21" t="s">
        <v>117</v>
      </c>
      <c r="F15" s="19"/>
      <c r="G15" s="17" t="s">
        <v>9</v>
      </c>
      <c r="H15" s="17" t="s">
        <v>115</v>
      </c>
    </row>
    <row r="16" spans="1:8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</sheetData>
  <phoneticPr fontId="9" type="noConversion"/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F0D6B-2C62-4D7E-A906-B8342F6467B3}">
  <dimension ref="B1:I942"/>
  <sheetViews>
    <sheetView topLeftCell="A11" zoomScale="75" workbookViewId="0">
      <selection activeCell="C38" sqref="C38"/>
    </sheetView>
  </sheetViews>
  <sheetFormatPr baseColWidth="10" defaultColWidth="12.5546875" defaultRowHeight="13.2" x14ac:dyDescent="0.25"/>
  <cols>
    <col min="1" max="2" width="12.44140625" customWidth="1"/>
    <col min="3" max="3" width="69.109375" customWidth="1"/>
    <col min="4" max="4" width="26.44140625" customWidth="1"/>
    <col min="5" max="5" width="33.5546875" customWidth="1"/>
    <col min="6" max="6" width="62.109375" customWidth="1"/>
    <col min="7" max="26" width="12.44140625" customWidth="1"/>
  </cols>
  <sheetData>
    <row r="1" spans="2:9" ht="15.75" customHeight="1" x14ac:dyDescent="0.25"/>
    <row r="2" spans="2:9" ht="15.75" customHeight="1" x14ac:dyDescent="0.25"/>
    <row r="3" spans="2:9" ht="15.6" customHeight="1" x14ac:dyDescent="0.25">
      <c r="B3" s="1" t="s">
        <v>10</v>
      </c>
      <c r="C3" s="1" t="s">
        <v>1</v>
      </c>
      <c r="D3" s="1" t="s">
        <v>2</v>
      </c>
      <c r="E3" s="1" t="s">
        <v>11</v>
      </c>
      <c r="F3" s="1" t="s">
        <v>12</v>
      </c>
      <c r="G3" s="1" t="s">
        <v>5</v>
      </c>
      <c r="H3" s="1" t="s">
        <v>13</v>
      </c>
      <c r="I3" s="1" t="s">
        <v>14</v>
      </c>
    </row>
    <row r="4" spans="2:9" s="9" customFormat="1" ht="15.75" customHeight="1" x14ac:dyDescent="0.25">
      <c r="B4" s="28" t="s">
        <v>8</v>
      </c>
      <c r="C4" s="28" t="s">
        <v>50</v>
      </c>
      <c r="D4" s="28" t="s">
        <v>51</v>
      </c>
      <c r="E4" s="28" t="s">
        <v>52</v>
      </c>
      <c r="F4" s="28" t="s">
        <v>53</v>
      </c>
      <c r="G4" s="29"/>
      <c r="H4" s="28" t="s">
        <v>9</v>
      </c>
      <c r="I4" s="23" t="s">
        <v>115</v>
      </c>
    </row>
    <row r="5" spans="2:9" s="9" customFormat="1" ht="15.75" customHeight="1" x14ac:dyDescent="0.25">
      <c r="B5" s="30"/>
      <c r="C5" s="31" t="s">
        <v>15</v>
      </c>
      <c r="D5" s="30"/>
      <c r="E5" s="30"/>
      <c r="F5" s="30"/>
      <c r="G5" s="31" t="s">
        <v>16</v>
      </c>
      <c r="H5" s="30"/>
      <c r="I5" s="31" t="s">
        <v>17</v>
      </c>
    </row>
    <row r="6" spans="2:9" s="10" customFormat="1" ht="15.75" customHeight="1" x14ac:dyDescent="0.25">
      <c r="B6" s="30" t="s">
        <v>18</v>
      </c>
      <c r="C6" s="41" t="s">
        <v>77</v>
      </c>
      <c r="D6" s="42"/>
      <c r="E6" s="42"/>
      <c r="F6" s="42"/>
      <c r="G6" s="33" t="s">
        <v>43</v>
      </c>
      <c r="H6" s="30"/>
      <c r="I6" s="34">
        <v>5</v>
      </c>
    </row>
    <row r="7" spans="2:9" s="10" customFormat="1" ht="15.75" customHeight="1" x14ac:dyDescent="0.25">
      <c r="B7" s="30" t="s">
        <v>19</v>
      </c>
      <c r="C7" s="41" t="s">
        <v>45</v>
      </c>
      <c r="D7" s="42"/>
      <c r="E7" s="42"/>
      <c r="F7" s="42"/>
      <c r="G7" s="33" t="s">
        <v>43</v>
      </c>
      <c r="H7" s="30"/>
      <c r="I7" s="34">
        <v>4</v>
      </c>
    </row>
    <row r="8" spans="2:9" s="9" customFormat="1" ht="15.75" customHeight="1" x14ac:dyDescent="0.25">
      <c r="B8" s="30" t="s">
        <v>20</v>
      </c>
      <c r="C8" s="41" t="s">
        <v>44</v>
      </c>
      <c r="D8" s="42"/>
      <c r="E8" s="42"/>
      <c r="F8" s="42"/>
      <c r="G8" s="33" t="s">
        <v>43</v>
      </c>
      <c r="H8" s="30"/>
      <c r="I8" s="34">
        <v>4</v>
      </c>
    </row>
    <row r="9" spans="2:9" s="9" customFormat="1" ht="15.75" customHeight="1" x14ac:dyDescent="0.25">
      <c r="B9" s="30"/>
      <c r="C9" s="30"/>
      <c r="D9" s="32"/>
      <c r="E9" s="32"/>
      <c r="F9" s="32"/>
      <c r="G9" s="33"/>
      <c r="H9" s="30"/>
      <c r="I9" s="34"/>
    </row>
    <row r="10" spans="2:9" s="10" customFormat="1" ht="15.75" customHeight="1" x14ac:dyDescent="0.25">
      <c r="B10" s="35" t="s">
        <v>31</v>
      </c>
      <c r="C10" s="24" t="s">
        <v>63</v>
      </c>
      <c r="D10" s="35" t="s">
        <v>30</v>
      </c>
      <c r="E10" s="35" t="s">
        <v>55</v>
      </c>
      <c r="F10" s="35" t="s">
        <v>56</v>
      </c>
      <c r="G10" s="35"/>
      <c r="H10" s="35" t="s">
        <v>9</v>
      </c>
      <c r="I10" s="23" t="s">
        <v>115</v>
      </c>
    </row>
    <row r="11" spans="2:9" s="10" customFormat="1" ht="15.75" customHeight="1" x14ac:dyDescent="0.25">
      <c r="B11" s="30"/>
      <c r="C11" s="31" t="s">
        <v>15</v>
      </c>
      <c r="D11" s="30"/>
      <c r="E11" s="30"/>
      <c r="F11" s="30"/>
      <c r="G11" s="31" t="s">
        <v>16</v>
      </c>
      <c r="H11" s="30"/>
      <c r="I11" s="31" t="s">
        <v>17</v>
      </c>
    </row>
    <row r="12" spans="2:9" s="10" customFormat="1" ht="15.75" customHeight="1" x14ac:dyDescent="0.25">
      <c r="B12" s="30" t="s">
        <v>34</v>
      </c>
      <c r="C12" s="41" t="s">
        <v>78</v>
      </c>
      <c r="D12" s="41" t="s">
        <v>46</v>
      </c>
      <c r="E12" s="41" t="s">
        <v>46</v>
      </c>
      <c r="F12" s="41" t="s">
        <v>46</v>
      </c>
      <c r="G12" s="36" t="s">
        <v>59</v>
      </c>
      <c r="H12" s="30"/>
      <c r="I12" s="34">
        <v>6</v>
      </c>
    </row>
    <row r="13" spans="2:9" s="10" customFormat="1" ht="15.75" customHeight="1" x14ac:dyDescent="0.25">
      <c r="B13" s="30" t="s">
        <v>35</v>
      </c>
      <c r="C13" s="41" t="s">
        <v>79</v>
      </c>
      <c r="D13" s="41" t="s">
        <v>47</v>
      </c>
      <c r="E13" s="41" t="s">
        <v>47</v>
      </c>
      <c r="F13" s="41" t="s">
        <v>47</v>
      </c>
      <c r="G13" s="36" t="s">
        <v>59</v>
      </c>
      <c r="H13" s="30"/>
      <c r="I13" s="34">
        <v>4</v>
      </c>
    </row>
    <row r="14" spans="2:9" s="10" customFormat="1" ht="15.75" customHeight="1" x14ac:dyDescent="0.25">
      <c r="B14" s="30" t="s">
        <v>36</v>
      </c>
      <c r="C14" s="41" t="s">
        <v>80</v>
      </c>
      <c r="D14" s="41" t="s">
        <v>48</v>
      </c>
      <c r="E14" s="41" t="s">
        <v>48</v>
      </c>
      <c r="F14" s="41" t="s">
        <v>48</v>
      </c>
      <c r="G14" s="36" t="s">
        <v>59</v>
      </c>
      <c r="H14" s="30"/>
      <c r="I14" s="34">
        <v>5</v>
      </c>
    </row>
    <row r="15" spans="2:9" s="10" customFormat="1" ht="15.75" customHeight="1" x14ac:dyDescent="0.25">
      <c r="B15" s="30" t="s">
        <v>61</v>
      </c>
      <c r="C15" s="41" t="s">
        <v>81</v>
      </c>
      <c r="D15" s="41" t="s">
        <v>49</v>
      </c>
      <c r="E15" s="41" t="s">
        <v>49</v>
      </c>
      <c r="F15" s="41" t="s">
        <v>49</v>
      </c>
      <c r="G15" s="36" t="s">
        <v>59</v>
      </c>
      <c r="H15" s="32"/>
      <c r="I15" s="34">
        <v>5</v>
      </c>
    </row>
    <row r="16" spans="2:9" s="10" customFormat="1" ht="15.75" customHeight="1" x14ac:dyDescent="0.25">
      <c r="B16" s="30"/>
      <c r="C16" s="30"/>
      <c r="D16" s="30"/>
      <c r="E16" s="30"/>
      <c r="F16" s="30"/>
      <c r="G16" s="32"/>
      <c r="H16" s="32"/>
      <c r="I16" s="32"/>
    </row>
    <row r="17" spans="2:9" s="10" customFormat="1" ht="15.75" customHeight="1" x14ac:dyDescent="0.25">
      <c r="B17" s="35" t="s">
        <v>32</v>
      </c>
      <c r="C17" s="24" t="s">
        <v>64</v>
      </c>
      <c r="D17" s="35" t="s">
        <v>30</v>
      </c>
      <c r="E17" s="35" t="s">
        <v>70</v>
      </c>
      <c r="F17" s="35" t="s">
        <v>74</v>
      </c>
      <c r="G17" s="37"/>
      <c r="H17" s="35" t="s">
        <v>9</v>
      </c>
      <c r="I17" s="23" t="s">
        <v>115</v>
      </c>
    </row>
    <row r="18" spans="2:9" s="10" customFormat="1" ht="15.75" customHeight="1" x14ac:dyDescent="0.25">
      <c r="B18" s="30"/>
      <c r="C18" s="31" t="s">
        <v>15</v>
      </c>
      <c r="D18" s="30"/>
      <c r="E18" s="30"/>
      <c r="F18" s="30"/>
      <c r="G18" s="31" t="s">
        <v>16</v>
      </c>
      <c r="H18" s="30"/>
      <c r="I18" s="31" t="s">
        <v>17</v>
      </c>
    </row>
    <row r="19" spans="2:9" s="10" customFormat="1" ht="15.75" customHeight="1" x14ac:dyDescent="0.25">
      <c r="B19" s="30" t="s">
        <v>37</v>
      </c>
      <c r="C19" s="41" t="s">
        <v>86</v>
      </c>
      <c r="D19" s="41" t="s">
        <v>46</v>
      </c>
      <c r="E19" s="41" t="s">
        <v>46</v>
      </c>
      <c r="F19" s="41" t="s">
        <v>46</v>
      </c>
      <c r="G19" s="33" t="s">
        <v>43</v>
      </c>
      <c r="H19" s="30"/>
      <c r="I19" s="34">
        <v>4</v>
      </c>
    </row>
    <row r="20" spans="2:9" s="10" customFormat="1" ht="15.75" customHeight="1" x14ac:dyDescent="0.25">
      <c r="B20" s="30" t="s">
        <v>38</v>
      </c>
      <c r="C20" s="41" t="s">
        <v>87</v>
      </c>
      <c r="D20" s="41" t="s">
        <v>47</v>
      </c>
      <c r="E20" s="41" t="s">
        <v>47</v>
      </c>
      <c r="F20" s="41" t="s">
        <v>47</v>
      </c>
      <c r="G20" s="33" t="s">
        <v>43</v>
      </c>
      <c r="H20" s="30"/>
      <c r="I20" s="34">
        <v>4</v>
      </c>
    </row>
    <row r="21" spans="2:9" s="10" customFormat="1" ht="15.75" customHeight="1" x14ac:dyDescent="0.25">
      <c r="B21" s="30" t="s">
        <v>39</v>
      </c>
      <c r="C21" s="41" t="s">
        <v>82</v>
      </c>
      <c r="D21" s="41" t="s">
        <v>49</v>
      </c>
      <c r="E21" s="41" t="s">
        <v>49</v>
      </c>
      <c r="F21" s="41" t="s">
        <v>49</v>
      </c>
      <c r="G21" s="33" t="s">
        <v>43</v>
      </c>
      <c r="H21" s="30"/>
      <c r="I21" s="34">
        <v>3</v>
      </c>
    </row>
    <row r="22" spans="2:9" s="10" customFormat="1" ht="15.75" customHeight="1" x14ac:dyDescent="0.25">
      <c r="B22" s="30"/>
      <c r="C22" s="30"/>
      <c r="D22" s="30"/>
      <c r="E22" s="30"/>
      <c r="F22" s="30"/>
      <c r="G22" s="32"/>
      <c r="H22" s="32"/>
      <c r="I22" s="32"/>
    </row>
    <row r="23" spans="2:9" s="10" customFormat="1" ht="15.75" customHeight="1" x14ac:dyDescent="0.25">
      <c r="B23" s="35" t="s">
        <v>33</v>
      </c>
      <c r="C23" s="24" t="s">
        <v>65</v>
      </c>
      <c r="D23" s="35" t="s">
        <v>30</v>
      </c>
      <c r="E23" s="35" t="s">
        <v>71</v>
      </c>
      <c r="F23" s="35" t="s">
        <v>75</v>
      </c>
      <c r="G23" s="37"/>
      <c r="H23" s="35" t="s">
        <v>9</v>
      </c>
      <c r="I23" s="23" t="s">
        <v>115</v>
      </c>
    </row>
    <row r="24" spans="2:9" s="10" customFormat="1" ht="15.75" customHeight="1" x14ac:dyDescent="0.25">
      <c r="B24" s="30"/>
      <c r="C24" s="31" t="s">
        <v>15</v>
      </c>
      <c r="D24" s="30"/>
      <c r="E24" s="30"/>
      <c r="F24" s="30"/>
      <c r="G24" s="31" t="s">
        <v>16</v>
      </c>
      <c r="H24" s="30"/>
      <c r="I24" s="31" t="s">
        <v>17</v>
      </c>
    </row>
    <row r="25" spans="2:9" s="10" customFormat="1" ht="15.75" customHeight="1" x14ac:dyDescent="0.25">
      <c r="B25" s="30" t="s">
        <v>40</v>
      </c>
      <c r="C25" s="41" t="s">
        <v>97</v>
      </c>
      <c r="D25" s="41" t="s">
        <v>46</v>
      </c>
      <c r="E25" s="41" t="s">
        <v>46</v>
      </c>
      <c r="F25" s="41" t="s">
        <v>46</v>
      </c>
      <c r="G25" s="33" t="s">
        <v>58</v>
      </c>
      <c r="H25" s="30"/>
      <c r="I25" s="34">
        <v>6</v>
      </c>
    </row>
    <row r="26" spans="2:9" s="10" customFormat="1" ht="15.75" customHeight="1" x14ac:dyDescent="0.25">
      <c r="B26" s="30" t="s">
        <v>41</v>
      </c>
      <c r="C26" s="41" t="s">
        <v>98</v>
      </c>
      <c r="D26" s="41" t="s">
        <v>47</v>
      </c>
      <c r="E26" s="41" t="s">
        <v>47</v>
      </c>
      <c r="F26" s="41" t="s">
        <v>47</v>
      </c>
      <c r="G26" s="33" t="s">
        <v>58</v>
      </c>
      <c r="H26" s="30"/>
      <c r="I26" s="34">
        <v>4</v>
      </c>
    </row>
    <row r="27" spans="2:9" s="10" customFormat="1" ht="15.75" customHeight="1" x14ac:dyDescent="0.25">
      <c r="B27" s="30" t="s">
        <v>42</v>
      </c>
      <c r="C27" s="41" t="s">
        <v>96</v>
      </c>
      <c r="D27" s="41" t="s">
        <v>48</v>
      </c>
      <c r="E27" s="41" t="s">
        <v>48</v>
      </c>
      <c r="F27" s="41" t="s">
        <v>48</v>
      </c>
      <c r="G27" s="33" t="s">
        <v>58</v>
      </c>
      <c r="H27" s="30"/>
      <c r="I27" s="34">
        <v>5</v>
      </c>
    </row>
    <row r="28" spans="2:9" s="10" customFormat="1" ht="15.75" customHeight="1" x14ac:dyDescent="0.25">
      <c r="B28" s="32"/>
      <c r="C28" s="32"/>
      <c r="D28" s="32"/>
      <c r="E28" s="32"/>
      <c r="F28" s="32"/>
      <c r="G28" s="32"/>
      <c r="H28" s="32"/>
      <c r="I28" s="32"/>
    </row>
    <row r="29" spans="2:9" s="10" customFormat="1" ht="15.75" customHeight="1" x14ac:dyDescent="0.25">
      <c r="B29" s="35" t="s">
        <v>68</v>
      </c>
      <c r="C29" s="38" t="s">
        <v>66</v>
      </c>
      <c r="D29" s="35" t="s">
        <v>30</v>
      </c>
      <c r="E29" s="35" t="s">
        <v>72</v>
      </c>
      <c r="F29" s="35" t="s">
        <v>76</v>
      </c>
      <c r="G29" s="37"/>
      <c r="H29" s="35" t="s">
        <v>9</v>
      </c>
      <c r="I29" s="23" t="s">
        <v>115</v>
      </c>
    </row>
    <row r="30" spans="2:9" s="10" customFormat="1" ht="15.75" customHeight="1" x14ac:dyDescent="0.25">
      <c r="B30" s="32"/>
      <c r="C30" s="32"/>
      <c r="D30" s="32"/>
      <c r="E30" s="32"/>
      <c r="F30" s="32"/>
      <c r="G30" s="32"/>
      <c r="H30" s="32"/>
      <c r="I30" s="32"/>
    </row>
    <row r="31" spans="2:9" s="10" customFormat="1" ht="15.75" customHeight="1" x14ac:dyDescent="0.25">
      <c r="B31" s="30" t="s">
        <v>83</v>
      </c>
      <c r="C31" s="32" t="s">
        <v>99</v>
      </c>
      <c r="D31" s="32"/>
      <c r="E31" s="32"/>
      <c r="F31" s="32"/>
      <c r="G31" s="33" t="s">
        <v>58</v>
      </c>
      <c r="H31" s="32"/>
      <c r="I31" s="34">
        <v>6</v>
      </c>
    </row>
    <row r="32" spans="2:9" s="10" customFormat="1" ht="15.75" customHeight="1" x14ac:dyDescent="0.25">
      <c r="B32" s="30" t="s">
        <v>84</v>
      </c>
      <c r="C32" s="32" t="s">
        <v>88</v>
      </c>
      <c r="D32" s="32"/>
      <c r="E32" s="32"/>
      <c r="F32" s="32"/>
      <c r="G32" s="33" t="s">
        <v>58</v>
      </c>
      <c r="H32" s="32"/>
      <c r="I32" s="34">
        <v>4</v>
      </c>
    </row>
    <row r="33" spans="2:9" s="10" customFormat="1" ht="15.75" customHeight="1" x14ac:dyDescent="0.25">
      <c r="B33" s="30" t="s">
        <v>85</v>
      </c>
      <c r="C33" s="32" t="s">
        <v>89</v>
      </c>
      <c r="D33" s="32"/>
      <c r="E33" s="32"/>
      <c r="F33" s="32"/>
      <c r="G33" s="33" t="s">
        <v>58</v>
      </c>
      <c r="H33" s="32"/>
      <c r="I33" s="34">
        <v>5</v>
      </c>
    </row>
    <row r="34" spans="2:9" ht="15.75" customHeight="1" x14ac:dyDescent="0.25"/>
    <row r="35" spans="2:9" ht="15.75" customHeight="1" x14ac:dyDescent="0.25"/>
    <row r="36" spans="2:9" ht="15.75" customHeight="1" x14ac:dyDescent="0.25"/>
    <row r="37" spans="2:9" ht="15.75" customHeight="1" x14ac:dyDescent="0.25"/>
    <row r="38" spans="2:9" ht="15.75" customHeight="1" x14ac:dyDescent="0.25"/>
    <row r="39" spans="2:9" ht="15.75" customHeight="1" x14ac:dyDescent="0.25"/>
    <row r="40" spans="2:9" ht="15.75" customHeight="1" x14ac:dyDescent="0.25"/>
    <row r="41" spans="2:9" ht="15.75" customHeight="1" x14ac:dyDescent="0.25"/>
    <row r="42" spans="2:9" ht="15.75" customHeight="1" x14ac:dyDescent="0.25"/>
    <row r="43" spans="2:9" ht="15.75" customHeight="1" x14ac:dyDescent="0.25"/>
    <row r="44" spans="2:9" ht="15.75" customHeight="1" x14ac:dyDescent="0.25"/>
    <row r="45" spans="2:9" ht="15.75" customHeight="1" x14ac:dyDescent="0.25"/>
    <row r="46" spans="2:9" ht="15.75" customHeight="1" x14ac:dyDescent="0.25"/>
    <row r="47" spans="2:9" ht="15.75" customHeight="1" x14ac:dyDescent="0.25"/>
    <row r="48" spans="2: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</sheetData>
  <mergeCells count="13">
    <mergeCell ref="C14:F14"/>
    <mergeCell ref="C15:F15"/>
    <mergeCell ref="C6:F6"/>
    <mergeCell ref="C7:F7"/>
    <mergeCell ref="C8:F8"/>
    <mergeCell ref="C12:F12"/>
    <mergeCell ref="C13:F13"/>
    <mergeCell ref="C27:F27"/>
    <mergeCell ref="C19:F19"/>
    <mergeCell ref="C20:F20"/>
    <mergeCell ref="C21:F21"/>
    <mergeCell ref="C25:F25"/>
    <mergeCell ref="C26:F26"/>
  </mergeCells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C434A-B456-4E13-B879-0186A37C8BE5}">
  <dimension ref="B1:I928"/>
  <sheetViews>
    <sheetView topLeftCell="A47" workbookViewId="0">
      <selection activeCell="C58" sqref="C58"/>
    </sheetView>
  </sheetViews>
  <sheetFormatPr baseColWidth="10" defaultColWidth="12.5546875" defaultRowHeight="13.2" x14ac:dyDescent="0.25"/>
  <cols>
    <col min="1" max="2" width="12.44140625" customWidth="1"/>
    <col min="3" max="3" width="69.109375" customWidth="1"/>
    <col min="4" max="4" width="26.44140625" customWidth="1"/>
    <col min="5" max="5" width="45.109375" customWidth="1"/>
    <col min="6" max="6" width="62.109375" customWidth="1"/>
    <col min="7" max="26" width="12.44140625" customWidth="1"/>
  </cols>
  <sheetData>
    <row r="1" spans="2:9" ht="15.75" customHeight="1" x14ac:dyDescent="0.25"/>
    <row r="2" spans="2:9" ht="15.75" customHeight="1" x14ac:dyDescent="0.25"/>
    <row r="3" spans="2:9" ht="15.6" customHeight="1" x14ac:dyDescent="0.25">
      <c r="B3" s="1" t="s">
        <v>10</v>
      </c>
      <c r="C3" s="1" t="s">
        <v>1</v>
      </c>
      <c r="D3" s="1" t="s">
        <v>2</v>
      </c>
      <c r="E3" s="1" t="s">
        <v>11</v>
      </c>
      <c r="F3" s="1" t="s">
        <v>12</v>
      </c>
      <c r="G3" s="1" t="s">
        <v>5</v>
      </c>
      <c r="H3" s="1" t="s">
        <v>13</v>
      </c>
      <c r="I3" s="1" t="s">
        <v>14</v>
      </c>
    </row>
    <row r="4" spans="2:9" s="9" customFormat="1" ht="15.75" customHeight="1" x14ac:dyDescent="0.25">
      <c r="B4" s="28" t="s">
        <v>8</v>
      </c>
      <c r="C4" s="28" t="s">
        <v>50</v>
      </c>
      <c r="D4" s="28" t="s">
        <v>51</v>
      </c>
      <c r="E4" s="28" t="s">
        <v>52</v>
      </c>
      <c r="F4" s="28" t="s">
        <v>53</v>
      </c>
      <c r="G4" s="29"/>
      <c r="H4" s="28" t="s">
        <v>9</v>
      </c>
      <c r="I4" s="23" t="s">
        <v>115</v>
      </c>
    </row>
    <row r="5" spans="2:9" s="9" customFormat="1" ht="15.75" customHeight="1" x14ac:dyDescent="0.25">
      <c r="B5" s="30"/>
      <c r="C5" s="31" t="s">
        <v>15</v>
      </c>
      <c r="D5" s="30"/>
      <c r="E5" s="30"/>
      <c r="F5" s="30"/>
      <c r="G5" s="31" t="s">
        <v>16</v>
      </c>
      <c r="H5" s="30"/>
      <c r="I5" s="31" t="s">
        <v>17</v>
      </c>
    </row>
    <row r="6" spans="2:9" s="10" customFormat="1" ht="15.75" customHeight="1" x14ac:dyDescent="0.25">
      <c r="B6" s="30" t="s">
        <v>18</v>
      </c>
      <c r="C6" s="41" t="s">
        <v>77</v>
      </c>
      <c r="D6" s="42"/>
      <c r="E6" s="42"/>
      <c r="F6" s="42"/>
      <c r="G6" s="33" t="s">
        <v>43</v>
      </c>
      <c r="H6" s="30"/>
      <c r="I6" s="34">
        <v>5</v>
      </c>
    </row>
    <row r="7" spans="2:9" s="10" customFormat="1" ht="15.75" customHeight="1" x14ac:dyDescent="0.25">
      <c r="B7" s="30" t="s">
        <v>19</v>
      </c>
      <c r="C7" s="41" t="s">
        <v>45</v>
      </c>
      <c r="D7" s="42"/>
      <c r="E7" s="42"/>
      <c r="F7" s="42"/>
      <c r="G7" s="33" t="s">
        <v>43</v>
      </c>
      <c r="H7" s="30"/>
      <c r="I7" s="34">
        <v>4</v>
      </c>
    </row>
    <row r="8" spans="2:9" s="9" customFormat="1" ht="15.75" customHeight="1" x14ac:dyDescent="0.25">
      <c r="B8" s="30" t="s">
        <v>20</v>
      </c>
      <c r="C8" s="41" t="s">
        <v>44</v>
      </c>
      <c r="D8" s="42"/>
      <c r="E8" s="42"/>
      <c r="F8" s="42"/>
      <c r="G8" s="33" t="s">
        <v>43</v>
      </c>
      <c r="H8" s="30"/>
      <c r="I8" s="34">
        <v>4</v>
      </c>
    </row>
    <row r="9" spans="2:9" s="9" customFormat="1" ht="15.75" customHeight="1" x14ac:dyDescent="0.25">
      <c r="B9" s="30"/>
      <c r="C9" s="30"/>
      <c r="D9" s="32"/>
      <c r="E9" s="32"/>
      <c r="F9" s="32"/>
      <c r="G9" s="33"/>
      <c r="H9" s="30"/>
      <c r="I9" s="34"/>
    </row>
    <row r="10" spans="2:9" s="10" customFormat="1" ht="15.75" customHeight="1" x14ac:dyDescent="0.25">
      <c r="B10" s="35" t="s">
        <v>31</v>
      </c>
      <c r="C10" s="24" t="s">
        <v>63</v>
      </c>
      <c r="D10" s="35" t="s">
        <v>30</v>
      </c>
      <c r="E10" s="35" t="s">
        <v>55</v>
      </c>
      <c r="F10" s="35" t="s">
        <v>56</v>
      </c>
      <c r="G10" s="35"/>
      <c r="H10" s="35" t="s">
        <v>9</v>
      </c>
      <c r="I10" s="23" t="s">
        <v>115</v>
      </c>
    </row>
    <row r="11" spans="2:9" s="10" customFormat="1" ht="15.75" customHeight="1" x14ac:dyDescent="0.25">
      <c r="B11" s="30"/>
      <c r="C11" s="31" t="s">
        <v>15</v>
      </c>
      <c r="D11" s="30"/>
      <c r="E11" s="30"/>
      <c r="F11" s="30"/>
      <c r="G11" s="31" t="s">
        <v>16</v>
      </c>
      <c r="H11" s="30"/>
      <c r="I11" s="31" t="s">
        <v>17</v>
      </c>
    </row>
    <row r="12" spans="2:9" s="10" customFormat="1" ht="15.75" customHeight="1" x14ac:dyDescent="0.25">
      <c r="B12" s="30" t="s">
        <v>34</v>
      </c>
      <c r="C12" s="41" t="s">
        <v>78</v>
      </c>
      <c r="D12" s="41" t="s">
        <v>46</v>
      </c>
      <c r="E12" s="41" t="s">
        <v>46</v>
      </c>
      <c r="F12" s="41" t="s">
        <v>46</v>
      </c>
      <c r="G12" s="36" t="s">
        <v>59</v>
      </c>
      <c r="H12" s="30"/>
      <c r="I12" s="34">
        <v>6</v>
      </c>
    </row>
    <row r="13" spans="2:9" s="10" customFormat="1" ht="15.75" customHeight="1" x14ac:dyDescent="0.25">
      <c r="B13" s="30" t="s">
        <v>35</v>
      </c>
      <c r="C13" s="41" t="s">
        <v>79</v>
      </c>
      <c r="D13" s="41" t="s">
        <v>47</v>
      </c>
      <c r="E13" s="41" t="s">
        <v>47</v>
      </c>
      <c r="F13" s="41" t="s">
        <v>47</v>
      </c>
      <c r="G13" s="36" t="s">
        <v>59</v>
      </c>
      <c r="H13" s="30"/>
      <c r="I13" s="34">
        <v>4</v>
      </c>
    </row>
    <row r="14" spans="2:9" s="10" customFormat="1" ht="15.75" customHeight="1" x14ac:dyDescent="0.25">
      <c r="B14" s="30" t="s">
        <v>36</v>
      </c>
      <c r="C14" s="41" t="s">
        <v>80</v>
      </c>
      <c r="D14" s="41" t="s">
        <v>48</v>
      </c>
      <c r="E14" s="41" t="s">
        <v>48</v>
      </c>
      <c r="F14" s="41" t="s">
        <v>48</v>
      </c>
      <c r="G14" s="36" t="s">
        <v>59</v>
      </c>
      <c r="H14" s="30"/>
      <c r="I14" s="34">
        <v>5</v>
      </c>
    </row>
    <row r="15" spans="2:9" s="10" customFormat="1" ht="15.75" customHeight="1" x14ac:dyDescent="0.25">
      <c r="B15" s="30" t="s">
        <v>61</v>
      </c>
      <c r="C15" s="41" t="s">
        <v>81</v>
      </c>
      <c r="D15" s="41" t="s">
        <v>49</v>
      </c>
      <c r="E15" s="41" t="s">
        <v>49</v>
      </c>
      <c r="F15" s="41" t="s">
        <v>49</v>
      </c>
      <c r="G15" s="36" t="s">
        <v>59</v>
      </c>
      <c r="H15" s="32"/>
      <c r="I15" s="34">
        <v>5</v>
      </c>
    </row>
    <row r="16" spans="2:9" s="10" customFormat="1" ht="15.75" customHeight="1" x14ac:dyDescent="0.25">
      <c r="B16" s="30"/>
      <c r="C16" s="30"/>
      <c r="D16" s="30"/>
      <c r="E16" s="30"/>
      <c r="F16" s="30"/>
      <c r="G16" s="32"/>
      <c r="H16" s="32"/>
      <c r="I16" s="32"/>
    </row>
    <row r="17" spans="2:9" s="10" customFormat="1" ht="15.75" customHeight="1" x14ac:dyDescent="0.25">
      <c r="B17" s="35" t="s">
        <v>32</v>
      </c>
      <c r="C17" s="24" t="s">
        <v>64</v>
      </c>
      <c r="D17" s="35" t="s">
        <v>30</v>
      </c>
      <c r="E17" s="35" t="s">
        <v>70</v>
      </c>
      <c r="F17" s="35" t="s">
        <v>74</v>
      </c>
      <c r="G17" s="37"/>
      <c r="H17" s="35" t="s">
        <v>9</v>
      </c>
      <c r="I17" s="23" t="s">
        <v>115</v>
      </c>
    </row>
    <row r="18" spans="2:9" s="10" customFormat="1" ht="15.75" customHeight="1" x14ac:dyDescent="0.25">
      <c r="B18" s="30"/>
      <c r="C18" s="31" t="s">
        <v>15</v>
      </c>
      <c r="D18" s="30"/>
      <c r="E18" s="30"/>
      <c r="F18" s="30"/>
      <c r="G18" s="31" t="s">
        <v>16</v>
      </c>
      <c r="H18" s="30"/>
      <c r="I18" s="31" t="s">
        <v>17</v>
      </c>
    </row>
    <row r="19" spans="2:9" s="10" customFormat="1" ht="15.75" customHeight="1" x14ac:dyDescent="0.25">
      <c r="B19" s="30" t="s">
        <v>37</v>
      </c>
      <c r="C19" s="41" t="s">
        <v>86</v>
      </c>
      <c r="D19" s="41" t="s">
        <v>46</v>
      </c>
      <c r="E19" s="41" t="s">
        <v>46</v>
      </c>
      <c r="F19" s="41" t="s">
        <v>46</v>
      </c>
      <c r="G19" s="33" t="s">
        <v>43</v>
      </c>
      <c r="H19" s="30"/>
      <c r="I19" s="34">
        <v>4</v>
      </c>
    </row>
    <row r="20" spans="2:9" s="10" customFormat="1" ht="15.75" customHeight="1" x14ac:dyDescent="0.25">
      <c r="B20" s="30" t="s">
        <v>38</v>
      </c>
      <c r="C20" s="41" t="s">
        <v>87</v>
      </c>
      <c r="D20" s="41" t="s">
        <v>47</v>
      </c>
      <c r="E20" s="41" t="s">
        <v>47</v>
      </c>
      <c r="F20" s="41" t="s">
        <v>47</v>
      </c>
      <c r="G20" s="33" t="s">
        <v>43</v>
      </c>
      <c r="H20" s="30"/>
      <c r="I20" s="34">
        <v>4</v>
      </c>
    </row>
    <row r="21" spans="2:9" s="10" customFormat="1" ht="15.75" customHeight="1" x14ac:dyDescent="0.25">
      <c r="B21" s="30" t="s">
        <v>39</v>
      </c>
      <c r="C21" s="41" t="s">
        <v>82</v>
      </c>
      <c r="D21" s="41" t="s">
        <v>49</v>
      </c>
      <c r="E21" s="41" t="s">
        <v>49</v>
      </c>
      <c r="F21" s="41" t="s">
        <v>49</v>
      </c>
      <c r="G21" s="33" t="s">
        <v>43</v>
      </c>
      <c r="H21" s="30"/>
      <c r="I21" s="34">
        <v>3</v>
      </c>
    </row>
    <row r="22" spans="2:9" s="10" customFormat="1" ht="15.75" customHeight="1" x14ac:dyDescent="0.25">
      <c r="B22" s="30"/>
      <c r="C22" s="30"/>
      <c r="D22" s="30"/>
      <c r="E22" s="30"/>
      <c r="F22" s="30"/>
      <c r="G22" s="32"/>
      <c r="H22" s="32"/>
      <c r="I22" s="32"/>
    </row>
    <row r="23" spans="2:9" s="10" customFormat="1" ht="15.75" customHeight="1" x14ac:dyDescent="0.25">
      <c r="B23" s="35" t="s">
        <v>33</v>
      </c>
      <c r="C23" s="24" t="s">
        <v>65</v>
      </c>
      <c r="D23" s="35" t="s">
        <v>30</v>
      </c>
      <c r="E23" s="35" t="s">
        <v>71</v>
      </c>
      <c r="F23" s="35" t="s">
        <v>75</v>
      </c>
      <c r="G23" s="37"/>
      <c r="H23" s="35" t="s">
        <v>9</v>
      </c>
      <c r="I23" s="23" t="s">
        <v>115</v>
      </c>
    </row>
    <row r="24" spans="2:9" s="10" customFormat="1" ht="15.75" customHeight="1" x14ac:dyDescent="0.25">
      <c r="B24" s="30"/>
      <c r="C24" s="31" t="s">
        <v>15</v>
      </c>
      <c r="D24" s="30"/>
      <c r="E24" s="30"/>
      <c r="F24" s="30"/>
      <c r="G24" s="31" t="s">
        <v>16</v>
      </c>
      <c r="H24" s="30"/>
      <c r="I24" s="31" t="s">
        <v>17</v>
      </c>
    </row>
    <row r="25" spans="2:9" s="10" customFormat="1" ht="15.75" customHeight="1" x14ac:dyDescent="0.25">
      <c r="B25" s="30" t="s">
        <v>40</v>
      </c>
      <c r="C25" s="41" t="s">
        <v>97</v>
      </c>
      <c r="D25" s="41" t="s">
        <v>46</v>
      </c>
      <c r="E25" s="41" t="s">
        <v>46</v>
      </c>
      <c r="F25" s="41" t="s">
        <v>46</v>
      </c>
      <c r="G25" s="33" t="s">
        <v>58</v>
      </c>
      <c r="H25" s="30"/>
      <c r="I25" s="34">
        <v>6</v>
      </c>
    </row>
    <row r="26" spans="2:9" s="10" customFormat="1" ht="15.75" customHeight="1" x14ac:dyDescent="0.25">
      <c r="B26" s="30" t="s">
        <v>41</v>
      </c>
      <c r="C26" s="41" t="s">
        <v>98</v>
      </c>
      <c r="D26" s="41" t="s">
        <v>47</v>
      </c>
      <c r="E26" s="41" t="s">
        <v>47</v>
      </c>
      <c r="F26" s="41" t="s">
        <v>47</v>
      </c>
      <c r="G26" s="33" t="s">
        <v>58</v>
      </c>
      <c r="H26" s="30"/>
      <c r="I26" s="34">
        <v>4</v>
      </c>
    </row>
    <row r="27" spans="2:9" s="10" customFormat="1" ht="15.75" customHeight="1" x14ac:dyDescent="0.25">
      <c r="B27" s="30" t="s">
        <v>42</v>
      </c>
      <c r="C27" s="41" t="s">
        <v>96</v>
      </c>
      <c r="D27" s="41" t="s">
        <v>48</v>
      </c>
      <c r="E27" s="41" t="s">
        <v>48</v>
      </c>
      <c r="F27" s="41" t="s">
        <v>48</v>
      </c>
      <c r="G27" s="33" t="s">
        <v>58</v>
      </c>
      <c r="H27" s="30"/>
      <c r="I27" s="34">
        <v>5</v>
      </c>
    </row>
    <row r="28" spans="2:9" s="10" customFormat="1" ht="15.75" customHeight="1" x14ac:dyDescent="0.25">
      <c r="B28" s="32"/>
      <c r="C28" s="32"/>
      <c r="D28" s="32"/>
      <c r="E28" s="32"/>
      <c r="F28" s="32"/>
      <c r="G28" s="32"/>
      <c r="H28" s="32"/>
      <c r="I28" s="32"/>
    </row>
    <row r="29" spans="2:9" s="10" customFormat="1" ht="15.75" customHeight="1" x14ac:dyDescent="0.25">
      <c r="B29" s="35" t="s">
        <v>68</v>
      </c>
      <c r="C29" s="38" t="s">
        <v>66</v>
      </c>
      <c r="D29" s="35" t="s">
        <v>30</v>
      </c>
      <c r="E29" s="35" t="s">
        <v>72</v>
      </c>
      <c r="F29" s="35" t="s">
        <v>76</v>
      </c>
      <c r="G29" s="37"/>
      <c r="H29" s="35" t="s">
        <v>9</v>
      </c>
      <c r="I29" s="23" t="s">
        <v>115</v>
      </c>
    </row>
    <row r="30" spans="2:9" s="10" customFormat="1" ht="15.75" customHeight="1" x14ac:dyDescent="0.25">
      <c r="B30" s="32"/>
      <c r="C30" s="32"/>
      <c r="D30" s="32"/>
      <c r="E30" s="32"/>
      <c r="F30" s="32"/>
      <c r="G30" s="32"/>
      <c r="H30" s="32"/>
      <c r="I30" s="32"/>
    </row>
    <row r="31" spans="2:9" s="10" customFormat="1" ht="15.75" customHeight="1" x14ac:dyDescent="0.25">
      <c r="B31" s="30" t="s">
        <v>83</v>
      </c>
      <c r="C31" s="32" t="s">
        <v>99</v>
      </c>
      <c r="D31" s="32"/>
      <c r="E31" s="32"/>
      <c r="F31" s="32"/>
      <c r="G31" s="33" t="s">
        <v>58</v>
      </c>
      <c r="H31" s="32"/>
      <c r="I31" s="34">
        <v>6</v>
      </c>
    </row>
    <row r="32" spans="2:9" s="10" customFormat="1" ht="15.75" customHeight="1" x14ac:dyDescent="0.25">
      <c r="B32" s="30" t="s">
        <v>84</v>
      </c>
      <c r="C32" s="32" t="s">
        <v>88</v>
      </c>
      <c r="D32" s="32"/>
      <c r="E32" s="32"/>
      <c r="F32" s="32"/>
      <c r="G32" s="33" t="s">
        <v>58</v>
      </c>
      <c r="H32" s="32"/>
      <c r="I32" s="34">
        <v>4</v>
      </c>
    </row>
    <row r="33" spans="2:9" s="10" customFormat="1" ht="15.75" customHeight="1" x14ac:dyDescent="0.25">
      <c r="B33" s="30" t="s">
        <v>85</v>
      </c>
      <c r="C33" s="32" t="s">
        <v>89</v>
      </c>
      <c r="D33" s="32"/>
      <c r="E33" s="32"/>
      <c r="F33" s="32"/>
      <c r="G33" s="33" t="s">
        <v>58</v>
      </c>
      <c r="H33" s="32"/>
      <c r="I33" s="34">
        <v>5</v>
      </c>
    </row>
    <row r="34" spans="2:9" s="10" customFormat="1" ht="15.75" customHeight="1" x14ac:dyDescent="0.25">
      <c r="B34" s="32"/>
      <c r="C34" s="32"/>
      <c r="D34" s="32"/>
      <c r="E34" s="32"/>
      <c r="F34" s="32"/>
      <c r="G34" s="32"/>
      <c r="H34" s="32"/>
      <c r="I34" s="32"/>
    </row>
    <row r="35" spans="2:9" s="10" customFormat="1" ht="15.75" customHeight="1" x14ac:dyDescent="0.25">
      <c r="B35" s="35" t="s">
        <v>69</v>
      </c>
      <c r="C35" s="24" t="s">
        <v>110</v>
      </c>
      <c r="D35" s="23" t="s">
        <v>30</v>
      </c>
      <c r="E35" s="26" t="s">
        <v>120</v>
      </c>
      <c r="F35" s="26" t="s">
        <v>126</v>
      </c>
      <c r="G35" s="27"/>
      <c r="H35" s="23" t="s">
        <v>9</v>
      </c>
      <c r="I35" s="23" t="s">
        <v>54</v>
      </c>
    </row>
    <row r="36" spans="2:9" s="10" customFormat="1" ht="15.75" customHeight="1" x14ac:dyDescent="0.25">
      <c r="B36" s="32"/>
      <c r="C36" s="32"/>
      <c r="D36" s="32"/>
      <c r="E36" s="32"/>
      <c r="F36" s="32"/>
      <c r="G36" s="32"/>
      <c r="H36" s="32"/>
      <c r="I36" s="32"/>
    </row>
    <row r="37" spans="2:9" s="10" customFormat="1" ht="15.75" customHeight="1" x14ac:dyDescent="0.25">
      <c r="B37" s="30" t="s">
        <v>90</v>
      </c>
      <c r="C37" s="40" t="s">
        <v>160</v>
      </c>
      <c r="D37" s="32"/>
      <c r="E37" s="32"/>
      <c r="F37" s="32"/>
      <c r="G37" s="33" t="s">
        <v>58</v>
      </c>
      <c r="H37" s="32"/>
      <c r="I37" s="34">
        <v>6</v>
      </c>
    </row>
    <row r="38" spans="2:9" s="10" customFormat="1" ht="15.75" customHeight="1" x14ac:dyDescent="0.25">
      <c r="B38" s="30" t="s">
        <v>91</v>
      </c>
      <c r="C38" s="40" t="s">
        <v>161</v>
      </c>
      <c r="D38" s="32"/>
      <c r="E38" s="32"/>
      <c r="F38" s="32"/>
      <c r="G38" s="33" t="s">
        <v>58</v>
      </c>
      <c r="H38" s="32"/>
      <c r="I38" s="34">
        <v>4</v>
      </c>
    </row>
    <row r="39" spans="2:9" s="10" customFormat="1" ht="15.75" customHeight="1" x14ac:dyDescent="0.25">
      <c r="B39" s="30" t="s">
        <v>92</v>
      </c>
      <c r="C39" s="40" t="s">
        <v>162</v>
      </c>
      <c r="D39" s="32"/>
      <c r="E39" s="32"/>
      <c r="F39" s="32"/>
      <c r="G39" s="33" t="s">
        <v>58</v>
      </c>
      <c r="H39" s="32"/>
      <c r="I39" s="34">
        <v>5</v>
      </c>
    </row>
    <row r="40" spans="2:9" ht="15.75" customHeight="1" x14ac:dyDescent="0.25">
      <c r="B40" s="40"/>
      <c r="C40" s="40"/>
      <c r="D40" s="40"/>
      <c r="E40" s="40"/>
      <c r="F40" s="40"/>
      <c r="G40" s="40"/>
      <c r="H40" s="40"/>
      <c r="I40" s="40"/>
    </row>
    <row r="41" spans="2:9" s="10" customFormat="1" ht="15.75" customHeight="1" x14ac:dyDescent="0.25">
      <c r="B41" s="23" t="s">
        <v>100</v>
      </c>
      <c r="C41" s="24" t="s">
        <v>111</v>
      </c>
      <c r="D41" s="23" t="s">
        <v>30</v>
      </c>
      <c r="E41" s="26" t="s">
        <v>121</v>
      </c>
      <c r="F41" s="26" t="s">
        <v>127</v>
      </c>
      <c r="G41" s="27"/>
      <c r="H41" s="23" t="s">
        <v>9</v>
      </c>
      <c r="I41" s="23" t="s">
        <v>54</v>
      </c>
    </row>
    <row r="42" spans="2:9" s="10" customFormat="1" ht="15.75" customHeight="1" x14ac:dyDescent="0.25">
      <c r="B42" s="32"/>
      <c r="C42" s="32"/>
      <c r="D42" s="32"/>
      <c r="E42" s="32"/>
      <c r="F42" s="32"/>
      <c r="G42" s="32"/>
      <c r="H42" s="32"/>
      <c r="I42" s="32"/>
    </row>
    <row r="43" spans="2:9" s="10" customFormat="1" ht="15.75" customHeight="1" x14ac:dyDescent="0.25">
      <c r="B43" s="30" t="s">
        <v>130</v>
      </c>
      <c r="C43" s="40" t="s">
        <v>163</v>
      </c>
      <c r="D43" s="32"/>
      <c r="E43" s="32"/>
      <c r="F43" s="32"/>
      <c r="G43" s="33" t="s">
        <v>58</v>
      </c>
      <c r="H43" s="32"/>
      <c r="I43" s="34">
        <v>6</v>
      </c>
    </row>
    <row r="44" spans="2:9" s="10" customFormat="1" ht="15.75" customHeight="1" x14ac:dyDescent="0.25">
      <c r="B44" s="30" t="s">
        <v>131</v>
      </c>
      <c r="C44" s="40" t="s">
        <v>164</v>
      </c>
      <c r="D44" s="32"/>
      <c r="E44" s="32"/>
      <c r="F44" s="32"/>
      <c r="G44" s="33" t="s">
        <v>58</v>
      </c>
      <c r="H44" s="32"/>
      <c r="I44" s="34">
        <v>4</v>
      </c>
    </row>
    <row r="45" spans="2:9" s="10" customFormat="1" ht="15.75" customHeight="1" x14ac:dyDescent="0.25">
      <c r="B45" s="30" t="s">
        <v>132</v>
      </c>
      <c r="C45" s="40" t="s">
        <v>165</v>
      </c>
      <c r="D45" s="32"/>
      <c r="E45" s="32"/>
      <c r="F45" s="32"/>
      <c r="G45" s="33" t="s">
        <v>58</v>
      </c>
      <c r="H45" s="32"/>
      <c r="I45" s="34">
        <v>5</v>
      </c>
    </row>
    <row r="46" spans="2:9" ht="15.75" customHeight="1" x14ac:dyDescent="0.25">
      <c r="B46" s="40"/>
      <c r="C46" s="40"/>
      <c r="D46" s="40"/>
      <c r="E46" s="40"/>
      <c r="F46" s="40"/>
      <c r="G46" s="40"/>
      <c r="H46" s="40"/>
      <c r="I46" s="40"/>
    </row>
    <row r="47" spans="2:9" s="10" customFormat="1" ht="15.75" customHeight="1" x14ac:dyDescent="0.25">
      <c r="B47" s="23" t="s">
        <v>101</v>
      </c>
      <c r="C47" s="24" t="s">
        <v>112</v>
      </c>
      <c r="D47" s="23" t="s">
        <v>30</v>
      </c>
      <c r="E47" s="26" t="s">
        <v>122</v>
      </c>
      <c r="F47" s="26" t="s">
        <v>128</v>
      </c>
      <c r="G47" s="27"/>
      <c r="H47" s="23" t="s">
        <v>9</v>
      </c>
      <c r="I47" s="23" t="s">
        <v>54</v>
      </c>
    </row>
    <row r="48" spans="2:9" s="10" customFormat="1" ht="15.75" customHeight="1" x14ac:dyDescent="0.25">
      <c r="B48" s="32"/>
      <c r="C48" s="32"/>
      <c r="D48" s="32"/>
      <c r="E48" s="32"/>
      <c r="F48" s="32"/>
      <c r="G48" s="32"/>
      <c r="H48" s="32"/>
      <c r="I48" s="32"/>
    </row>
    <row r="49" spans="2:9" s="10" customFormat="1" ht="15.75" customHeight="1" x14ac:dyDescent="0.25">
      <c r="B49" s="30" t="s">
        <v>136</v>
      </c>
      <c r="C49" s="40" t="s">
        <v>166</v>
      </c>
      <c r="D49" s="32"/>
      <c r="E49" s="32"/>
      <c r="F49" s="32"/>
      <c r="G49" s="36" t="s">
        <v>59</v>
      </c>
      <c r="H49" s="32"/>
      <c r="I49" s="34">
        <v>6</v>
      </c>
    </row>
    <row r="50" spans="2:9" s="10" customFormat="1" ht="15.75" customHeight="1" x14ac:dyDescent="0.25">
      <c r="B50" s="30" t="s">
        <v>137</v>
      </c>
      <c r="C50" s="40" t="s">
        <v>167</v>
      </c>
      <c r="D50" s="32"/>
      <c r="E50" s="32"/>
      <c r="F50" s="32"/>
      <c r="G50" s="36" t="s">
        <v>59</v>
      </c>
      <c r="H50" s="32"/>
      <c r="I50" s="34">
        <v>4</v>
      </c>
    </row>
    <row r="51" spans="2:9" s="10" customFormat="1" ht="15.75" customHeight="1" x14ac:dyDescent="0.25">
      <c r="B51" s="30" t="s">
        <v>138</v>
      </c>
      <c r="C51" s="40" t="s">
        <v>168</v>
      </c>
      <c r="D51" s="32"/>
      <c r="E51" s="32"/>
      <c r="F51" s="32"/>
      <c r="G51" s="36" t="s">
        <v>59</v>
      </c>
      <c r="H51" s="32"/>
      <c r="I51" s="34">
        <v>5</v>
      </c>
    </row>
    <row r="52" spans="2:9" ht="15.75" customHeight="1" x14ac:dyDescent="0.25">
      <c r="B52" s="40"/>
      <c r="C52" s="40"/>
      <c r="D52" s="40"/>
      <c r="E52" s="40"/>
      <c r="F52" s="40"/>
      <c r="G52" s="40"/>
      <c r="H52" s="40"/>
      <c r="I52" s="40"/>
    </row>
    <row r="53" spans="2:9" s="10" customFormat="1" ht="15.75" customHeight="1" x14ac:dyDescent="0.25">
      <c r="B53" s="23" t="s">
        <v>102</v>
      </c>
      <c r="C53" s="24" t="s">
        <v>113</v>
      </c>
      <c r="D53" s="23" t="s">
        <v>30</v>
      </c>
      <c r="E53" s="26" t="s">
        <v>123</v>
      </c>
      <c r="F53" s="26" t="s">
        <v>129</v>
      </c>
      <c r="G53" s="27"/>
      <c r="H53" s="23" t="s">
        <v>9</v>
      </c>
      <c r="I53" s="23" t="s">
        <v>54</v>
      </c>
    </row>
    <row r="54" spans="2:9" s="10" customFormat="1" ht="15.75" customHeight="1" x14ac:dyDescent="0.25">
      <c r="B54" s="32"/>
      <c r="C54" s="32"/>
      <c r="D54" s="32"/>
      <c r="E54" s="32"/>
      <c r="F54" s="32"/>
      <c r="G54" s="32"/>
      <c r="H54" s="32"/>
      <c r="I54" s="32"/>
    </row>
    <row r="55" spans="2:9" s="10" customFormat="1" ht="15.75" customHeight="1" x14ac:dyDescent="0.25">
      <c r="B55" s="30" t="s">
        <v>142</v>
      </c>
      <c r="C55" s="40" t="s">
        <v>169</v>
      </c>
      <c r="D55" s="32"/>
      <c r="E55" s="32"/>
      <c r="F55" s="32"/>
      <c r="G55" s="36" t="s">
        <v>59</v>
      </c>
      <c r="H55" s="32"/>
      <c r="I55" s="34">
        <v>6</v>
      </c>
    </row>
    <row r="56" spans="2:9" s="10" customFormat="1" ht="15.75" customHeight="1" x14ac:dyDescent="0.25">
      <c r="B56" s="30" t="s">
        <v>143</v>
      </c>
      <c r="C56" s="40" t="s">
        <v>170</v>
      </c>
      <c r="D56" s="32"/>
      <c r="E56" s="32"/>
      <c r="F56" s="32"/>
      <c r="G56" s="36" t="s">
        <v>59</v>
      </c>
      <c r="H56" s="32"/>
      <c r="I56" s="34">
        <v>4</v>
      </c>
    </row>
    <row r="57" spans="2:9" s="10" customFormat="1" ht="15.75" customHeight="1" x14ac:dyDescent="0.25">
      <c r="B57" s="30" t="s">
        <v>144</v>
      </c>
      <c r="C57" s="40" t="s">
        <v>171</v>
      </c>
      <c r="D57" s="32"/>
      <c r="E57" s="32"/>
      <c r="F57" s="32"/>
      <c r="G57" s="36" t="s">
        <v>59</v>
      </c>
      <c r="H57" s="32"/>
      <c r="I57" s="34">
        <v>5</v>
      </c>
    </row>
    <row r="58" spans="2:9" ht="15.75" customHeight="1" x14ac:dyDescent="0.25">
      <c r="B58" s="40"/>
      <c r="C58" s="40"/>
      <c r="D58" s="40"/>
      <c r="E58" s="40"/>
      <c r="F58" s="40"/>
      <c r="G58" s="40"/>
      <c r="H58" s="40"/>
      <c r="I58" s="40"/>
    </row>
    <row r="59" spans="2:9" ht="15.75" customHeight="1" x14ac:dyDescent="0.25"/>
    <row r="60" spans="2:9" ht="15.75" customHeight="1" x14ac:dyDescent="0.25"/>
    <row r="61" spans="2:9" ht="15.75" customHeight="1" x14ac:dyDescent="0.25"/>
    <row r="62" spans="2:9" ht="15.75" customHeight="1" x14ac:dyDescent="0.25"/>
    <row r="63" spans="2:9" ht="15.75" customHeight="1" x14ac:dyDescent="0.25"/>
    <row r="64" spans="2:9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</sheetData>
  <mergeCells count="13">
    <mergeCell ref="C27:F27"/>
    <mergeCell ref="C19:F19"/>
    <mergeCell ref="C20:F20"/>
    <mergeCell ref="C21:F21"/>
    <mergeCell ref="C25:F25"/>
    <mergeCell ref="C26:F26"/>
    <mergeCell ref="C12:F12"/>
    <mergeCell ref="C13:F13"/>
    <mergeCell ref="C14:F14"/>
    <mergeCell ref="C15:F15"/>
    <mergeCell ref="C6:F6"/>
    <mergeCell ref="C7:F7"/>
    <mergeCell ref="C8:F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216F9-6909-4CF0-86AE-C0EE59DC9E9E}">
  <dimension ref="B1:I941"/>
  <sheetViews>
    <sheetView topLeftCell="A58" workbookViewId="0">
      <selection activeCell="C79" sqref="C79"/>
    </sheetView>
  </sheetViews>
  <sheetFormatPr baseColWidth="10" defaultColWidth="12.5546875" defaultRowHeight="13.2" x14ac:dyDescent="0.25"/>
  <cols>
    <col min="1" max="2" width="12.44140625" customWidth="1"/>
    <col min="3" max="3" width="69.109375" customWidth="1"/>
    <col min="4" max="4" width="26.44140625" customWidth="1"/>
    <col min="5" max="5" width="45.109375" customWidth="1"/>
    <col min="6" max="6" width="62.109375" customWidth="1"/>
    <col min="7" max="26" width="12.44140625" customWidth="1"/>
  </cols>
  <sheetData>
    <row r="1" spans="2:9" ht="15.75" customHeight="1" x14ac:dyDescent="0.25"/>
    <row r="2" spans="2:9" ht="15.75" customHeight="1" x14ac:dyDescent="0.25"/>
    <row r="3" spans="2:9" ht="15.6" customHeight="1" x14ac:dyDescent="0.25">
      <c r="B3" s="1" t="s">
        <v>10</v>
      </c>
      <c r="C3" s="1" t="s">
        <v>1</v>
      </c>
      <c r="D3" s="1" t="s">
        <v>2</v>
      </c>
      <c r="E3" s="1" t="s">
        <v>11</v>
      </c>
      <c r="F3" s="1" t="s">
        <v>12</v>
      </c>
      <c r="G3" s="1" t="s">
        <v>5</v>
      </c>
      <c r="H3" s="1" t="s">
        <v>13</v>
      </c>
      <c r="I3" s="1" t="s">
        <v>14</v>
      </c>
    </row>
    <row r="4" spans="2:9" s="9" customFormat="1" ht="15.75" customHeight="1" x14ac:dyDescent="0.25">
      <c r="B4" s="28" t="s">
        <v>8</v>
      </c>
      <c r="C4" s="28" t="s">
        <v>50</v>
      </c>
      <c r="D4" s="28" t="s">
        <v>51</v>
      </c>
      <c r="E4" s="28" t="s">
        <v>52</v>
      </c>
      <c r="F4" s="28" t="s">
        <v>53</v>
      </c>
      <c r="G4" s="29"/>
      <c r="H4" s="28" t="s">
        <v>9</v>
      </c>
      <c r="I4" s="23" t="s">
        <v>115</v>
      </c>
    </row>
    <row r="5" spans="2:9" s="9" customFormat="1" ht="15.75" customHeight="1" x14ac:dyDescent="0.25">
      <c r="B5" s="30"/>
      <c r="C5" s="31" t="s">
        <v>15</v>
      </c>
      <c r="D5" s="30"/>
      <c r="E5" s="30"/>
      <c r="F5" s="30"/>
      <c r="G5" s="31" t="s">
        <v>16</v>
      </c>
      <c r="H5" s="30"/>
      <c r="I5" s="31" t="s">
        <v>17</v>
      </c>
    </row>
    <row r="6" spans="2:9" s="10" customFormat="1" ht="15.75" customHeight="1" x14ac:dyDescent="0.25">
      <c r="B6" s="30" t="s">
        <v>18</v>
      </c>
      <c r="C6" s="41" t="s">
        <v>77</v>
      </c>
      <c r="D6" s="42"/>
      <c r="E6" s="42"/>
      <c r="F6" s="42"/>
      <c r="G6" s="33" t="s">
        <v>43</v>
      </c>
      <c r="H6" s="30"/>
      <c r="I6" s="34">
        <v>5</v>
      </c>
    </row>
    <row r="7" spans="2:9" s="10" customFormat="1" ht="15.75" customHeight="1" x14ac:dyDescent="0.25">
      <c r="B7" s="30" t="s">
        <v>19</v>
      </c>
      <c r="C7" s="41" t="s">
        <v>45</v>
      </c>
      <c r="D7" s="42"/>
      <c r="E7" s="42"/>
      <c r="F7" s="42"/>
      <c r="G7" s="33" t="s">
        <v>43</v>
      </c>
      <c r="H7" s="30"/>
      <c r="I7" s="34">
        <v>4</v>
      </c>
    </row>
    <row r="8" spans="2:9" s="9" customFormat="1" ht="15.75" customHeight="1" x14ac:dyDescent="0.25">
      <c r="B8" s="30" t="s">
        <v>20</v>
      </c>
      <c r="C8" s="41" t="s">
        <v>44</v>
      </c>
      <c r="D8" s="42"/>
      <c r="E8" s="42"/>
      <c r="F8" s="42"/>
      <c r="G8" s="33" t="s">
        <v>43</v>
      </c>
      <c r="H8" s="30"/>
      <c r="I8" s="34">
        <v>4</v>
      </c>
    </row>
    <row r="9" spans="2:9" s="9" customFormat="1" ht="15.75" customHeight="1" x14ac:dyDescent="0.25">
      <c r="B9" s="30"/>
      <c r="C9" s="30"/>
      <c r="D9" s="32"/>
      <c r="E9" s="32"/>
      <c r="F9" s="32"/>
      <c r="G9" s="33"/>
      <c r="H9" s="30"/>
      <c r="I9" s="34"/>
    </row>
    <row r="10" spans="2:9" s="10" customFormat="1" ht="15.75" customHeight="1" x14ac:dyDescent="0.25">
      <c r="B10" s="35" t="s">
        <v>31</v>
      </c>
      <c r="C10" s="24" t="s">
        <v>63</v>
      </c>
      <c r="D10" s="35" t="s">
        <v>30</v>
      </c>
      <c r="E10" s="35" t="s">
        <v>55</v>
      </c>
      <c r="F10" s="35" t="s">
        <v>56</v>
      </c>
      <c r="G10" s="35"/>
      <c r="H10" s="35" t="s">
        <v>9</v>
      </c>
      <c r="I10" s="23" t="s">
        <v>115</v>
      </c>
    </row>
    <row r="11" spans="2:9" s="10" customFormat="1" ht="15.75" customHeight="1" x14ac:dyDescent="0.25">
      <c r="B11" s="30"/>
      <c r="C11" s="31" t="s">
        <v>15</v>
      </c>
      <c r="D11" s="30"/>
      <c r="E11" s="30"/>
      <c r="F11" s="30"/>
      <c r="G11" s="31" t="s">
        <v>16</v>
      </c>
      <c r="H11" s="30"/>
      <c r="I11" s="31" t="s">
        <v>17</v>
      </c>
    </row>
    <row r="12" spans="2:9" s="10" customFormat="1" ht="15.75" customHeight="1" x14ac:dyDescent="0.25">
      <c r="B12" s="30" t="s">
        <v>34</v>
      </c>
      <c r="C12" s="41" t="s">
        <v>78</v>
      </c>
      <c r="D12" s="41" t="s">
        <v>46</v>
      </c>
      <c r="E12" s="41" t="s">
        <v>46</v>
      </c>
      <c r="F12" s="41" t="s">
        <v>46</v>
      </c>
      <c r="G12" s="36" t="s">
        <v>59</v>
      </c>
      <c r="H12" s="30"/>
      <c r="I12" s="34">
        <v>6</v>
      </c>
    </row>
    <row r="13" spans="2:9" s="10" customFormat="1" ht="15.75" customHeight="1" x14ac:dyDescent="0.25">
      <c r="B13" s="30" t="s">
        <v>35</v>
      </c>
      <c r="C13" s="41" t="s">
        <v>79</v>
      </c>
      <c r="D13" s="41" t="s">
        <v>47</v>
      </c>
      <c r="E13" s="41" t="s">
        <v>47</v>
      </c>
      <c r="F13" s="41" t="s">
        <v>47</v>
      </c>
      <c r="G13" s="36" t="s">
        <v>59</v>
      </c>
      <c r="H13" s="30"/>
      <c r="I13" s="34">
        <v>4</v>
      </c>
    </row>
    <row r="14" spans="2:9" s="10" customFormat="1" ht="15.75" customHeight="1" x14ac:dyDescent="0.25">
      <c r="B14" s="30" t="s">
        <v>36</v>
      </c>
      <c r="C14" s="41" t="s">
        <v>80</v>
      </c>
      <c r="D14" s="41" t="s">
        <v>48</v>
      </c>
      <c r="E14" s="41" t="s">
        <v>48</v>
      </c>
      <c r="F14" s="41" t="s">
        <v>48</v>
      </c>
      <c r="G14" s="36" t="s">
        <v>59</v>
      </c>
      <c r="H14" s="30"/>
      <c r="I14" s="34">
        <v>5</v>
      </c>
    </row>
    <row r="15" spans="2:9" s="10" customFormat="1" ht="15.75" customHeight="1" x14ac:dyDescent="0.25">
      <c r="B15" s="30" t="s">
        <v>61</v>
      </c>
      <c r="C15" s="41" t="s">
        <v>81</v>
      </c>
      <c r="D15" s="41" t="s">
        <v>49</v>
      </c>
      <c r="E15" s="41" t="s">
        <v>49</v>
      </c>
      <c r="F15" s="41" t="s">
        <v>49</v>
      </c>
      <c r="G15" s="36" t="s">
        <v>59</v>
      </c>
      <c r="H15" s="32"/>
      <c r="I15" s="34">
        <v>5</v>
      </c>
    </row>
    <row r="16" spans="2:9" s="10" customFormat="1" ht="15.75" customHeight="1" x14ac:dyDescent="0.25">
      <c r="B16" s="30"/>
      <c r="C16" s="30"/>
      <c r="D16" s="30"/>
      <c r="E16" s="30"/>
      <c r="F16" s="30"/>
      <c r="G16" s="32"/>
      <c r="H16" s="32"/>
      <c r="I16" s="32"/>
    </row>
    <row r="17" spans="2:9" s="10" customFormat="1" ht="15.75" customHeight="1" x14ac:dyDescent="0.25">
      <c r="B17" s="35" t="s">
        <v>32</v>
      </c>
      <c r="C17" s="24" t="s">
        <v>64</v>
      </c>
      <c r="D17" s="35" t="s">
        <v>30</v>
      </c>
      <c r="E17" s="35" t="s">
        <v>70</v>
      </c>
      <c r="F17" s="35" t="s">
        <v>74</v>
      </c>
      <c r="G17" s="37"/>
      <c r="H17" s="35" t="s">
        <v>9</v>
      </c>
      <c r="I17" s="23" t="s">
        <v>115</v>
      </c>
    </row>
    <row r="18" spans="2:9" s="10" customFormat="1" ht="15.75" customHeight="1" x14ac:dyDescent="0.25">
      <c r="B18" s="30"/>
      <c r="C18" s="31" t="s">
        <v>15</v>
      </c>
      <c r="D18" s="30"/>
      <c r="E18" s="30"/>
      <c r="F18" s="30"/>
      <c r="G18" s="31" t="s">
        <v>16</v>
      </c>
      <c r="H18" s="30"/>
      <c r="I18" s="31" t="s">
        <v>17</v>
      </c>
    </row>
    <row r="19" spans="2:9" s="10" customFormat="1" ht="15.75" customHeight="1" x14ac:dyDescent="0.25">
      <c r="B19" s="30" t="s">
        <v>37</v>
      </c>
      <c r="C19" s="41" t="s">
        <v>86</v>
      </c>
      <c r="D19" s="41" t="s">
        <v>46</v>
      </c>
      <c r="E19" s="41" t="s">
        <v>46</v>
      </c>
      <c r="F19" s="41" t="s">
        <v>46</v>
      </c>
      <c r="G19" s="33" t="s">
        <v>43</v>
      </c>
      <c r="H19" s="30"/>
      <c r="I19" s="34">
        <v>4</v>
      </c>
    </row>
    <row r="20" spans="2:9" s="10" customFormat="1" ht="15.75" customHeight="1" x14ac:dyDescent="0.25">
      <c r="B20" s="30" t="s">
        <v>38</v>
      </c>
      <c r="C20" s="41" t="s">
        <v>87</v>
      </c>
      <c r="D20" s="41" t="s">
        <v>47</v>
      </c>
      <c r="E20" s="41" t="s">
        <v>47</v>
      </c>
      <c r="F20" s="41" t="s">
        <v>47</v>
      </c>
      <c r="G20" s="33" t="s">
        <v>43</v>
      </c>
      <c r="H20" s="30"/>
      <c r="I20" s="34">
        <v>4</v>
      </c>
    </row>
    <row r="21" spans="2:9" s="10" customFormat="1" ht="15.75" customHeight="1" x14ac:dyDescent="0.25">
      <c r="B21" s="30" t="s">
        <v>39</v>
      </c>
      <c r="C21" s="41" t="s">
        <v>82</v>
      </c>
      <c r="D21" s="41" t="s">
        <v>49</v>
      </c>
      <c r="E21" s="41" t="s">
        <v>49</v>
      </c>
      <c r="F21" s="41" t="s">
        <v>49</v>
      </c>
      <c r="G21" s="33" t="s">
        <v>43</v>
      </c>
      <c r="H21" s="30"/>
      <c r="I21" s="34">
        <v>3</v>
      </c>
    </row>
    <row r="22" spans="2:9" s="10" customFormat="1" ht="15.75" customHeight="1" x14ac:dyDescent="0.25">
      <c r="B22" s="30"/>
      <c r="C22" s="30"/>
      <c r="D22" s="30"/>
      <c r="E22" s="30"/>
      <c r="F22" s="30"/>
      <c r="G22" s="32"/>
      <c r="H22" s="32"/>
      <c r="I22" s="32"/>
    </row>
    <row r="23" spans="2:9" s="10" customFormat="1" ht="15.75" customHeight="1" x14ac:dyDescent="0.25">
      <c r="B23" s="35" t="s">
        <v>33</v>
      </c>
      <c r="C23" s="24" t="s">
        <v>65</v>
      </c>
      <c r="D23" s="35" t="s">
        <v>30</v>
      </c>
      <c r="E23" s="35" t="s">
        <v>71</v>
      </c>
      <c r="F23" s="35" t="s">
        <v>75</v>
      </c>
      <c r="G23" s="37"/>
      <c r="H23" s="35" t="s">
        <v>9</v>
      </c>
      <c r="I23" s="23" t="s">
        <v>115</v>
      </c>
    </row>
    <row r="24" spans="2:9" s="10" customFormat="1" ht="15.75" customHeight="1" x14ac:dyDescent="0.25">
      <c r="B24" s="30"/>
      <c r="C24" s="31" t="s">
        <v>15</v>
      </c>
      <c r="D24" s="30"/>
      <c r="E24" s="30"/>
      <c r="F24" s="30"/>
      <c r="G24" s="31" t="s">
        <v>16</v>
      </c>
      <c r="H24" s="30"/>
      <c r="I24" s="31" t="s">
        <v>17</v>
      </c>
    </row>
    <row r="25" spans="2:9" s="10" customFormat="1" ht="15.75" customHeight="1" x14ac:dyDescent="0.25">
      <c r="B25" s="30" t="s">
        <v>40</v>
      </c>
      <c r="C25" s="41" t="s">
        <v>97</v>
      </c>
      <c r="D25" s="41" t="s">
        <v>46</v>
      </c>
      <c r="E25" s="41" t="s">
        <v>46</v>
      </c>
      <c r="F25" s="41" t="s">
        <v>46</v>
      </c>
      <c r="G25" s="33" t="s">
        <v>58</v>
      </c>
      <c r="H25" s="30"/>
      <c r="I25" s="34">
        <v>6</v>
      </c>
    </row>
    <row r="26" spans="2:9" s="10" customFormat="1" ht="15.75" customHeight="1" x14ac:dyDescent="0.25">
      <c r="B26" s="30" t="s">
        <v>41</v>
      </c>
      <c r="C26" s="41" t="s">
        <v>98</v>
      </c>
      <c r="D26" s="41" t="s">
        <v>47</v>
      </c>
      <c r="E26" s="41" t="s">
        <v>47</v>
      </c>
      <c r="F26" s="41" t="s">
        <v>47</v>
      </c>
      <c r="G26" s="33" t="s">
        <v>58</v>
      </c>
      <c r="H26" s="30"/>
      <c r="I26" s="34">
        <v>4</v>
      </c>
    </row>
    <row r="27" spans="2:9" s="10" customFormat="1" ht="15.75" customHeight="1" x14ac:dyDescent="0.25">
      <c r="B27" s="30" t="s">
        <v>42</v>
      </c>
      <c r="C27" s="41" t="s">
        <v>96</v>
      </c>
      <c r="D27" s="41" t="s">
        <v>48</v>
      </c>
      <c r="E27" s="41" t="s">
        <v>48</v>
      </c>
      <c r="F27" s="41" t="s">
        <v>48</v>
      </c>
      <c r="G27" s="33" t="s">
        <v>58</v>
      </c>
      <c r="H27" s="30"/>
      <c r="I27" s="34">
        <v>5</v>
      </c>
    </row>
    <row r="28" spans="2:9" s="10" customFormat="1" ht="15.75" customHeight="1" x14ac:dyDescent="0.25">
      <c r="B28" s="32"/>
      <c r="C28" s="32"/>
      <c r="D28" s="32"/>
      <c r="E28" s="32"/>
      <c r="F28" s="32"/>
      <c r="G28" s="32"/>
      <c r="H28" s="32"/>
      <c r="I28" s="32"/>
    </row>
    <row r="29" spans="2:9" s="10" customFormat="1" ht="15.75" customHeight="1" x14ac:dyDescent="0.25">
      <c r="B29" s="35" t="s">
        <v>68</v>
      </c>
      <c r="C29" s="38" t="s">
        <v>66</v>
      </c>
      <c r="D29" s="35" t="s">
        <v>30</v>
      </c>
      <c r="E29" s="35" t="s">
        <v>72</v>
      </c>
      <c r="F29" s="35" t="s">
        <v>76</v>
      </c>
      <c r="G29" s="37"/>
      <c r="H29" s="35" t="s">
        <v>9</v>
      </c>
      <c r="I29" s="23" t="s">
        <v>115</v>
      </c>
    </row>
    <row r="30" spans="2:9" s="10" customFormat="1" ht="15.75" customHeight="1" x14ac:dyDescent="0.25">
      <c r="B30" s="32"/>
      <c r="C30" s="32"/>
      <c r="D30" s="32"/>
      <c r="E30" s="32"/>
      <c r="F30" s="32"/>
      <c r="G30" s="32"/>
      <c r="H30" s="32"/>
      <c r="I30" s="32"/>
    </row>
    <row r="31" spans="2:9" s="10" customFormat="1" ht="15.75" customHeight="1" x14ac:dyDescent="0.25">
      <c r="B31" s="30" t="s">
        <v>83</v>
      </c>
      <c r="C31" s="32" t="s">
        <v>99</v>
      </c>
      <c r="D31" s="32"/>
      <c r="E31" s="32"/>
      <c r="F31" s="32"/>
      <c r="G31" s="33" t="s">
        <v>58</v>
      </c>
      <c r="H31" s="32"/>
      <c r="I31" s="34">
        <v>6</v>
      </c>
    </row>
    <row r="32" spans="2:9" s="10" customFormat="1" ht="15.75" customHeight="1" x14ac:dyDescent="0.25">
      <c r="B32" s="30" t="s">
        <v>84</v>
      </c>
      <c r="C32" s="32" t="s">
        <v>88</v>
      </c>
      <c r="D32" s="32"/>
      <c r="E32" s="32"/>
      <c r="F32" s="32"/>
      <c r="G32" s="33" t="s">
        <v>58</v>
      </c>
      <c r="H32" s="32"/>
      <c r="I32" s="34">
        <v>4</v>
      </c>
    </row>
    <row r="33" spans="2:9" s="10" customFormat="1" ht="15.75" customHeight="1" x14ac:dyDescent="0.25">
      <c r="B33" s="30" t="s">
        <v>85</v>
      </c>
      <c r="C33" s="32" t="s">
        <v>89</v>
      </c>
      <c r="D33" s="32"/>
      <c r="E33" s="32"/>
      <c r="F33" s="32"/>
      <c r="G33" s="33" t="s">
        <v>58</v>
      </c>
      <c r="H33" s="32"/>
      <c r="I33" s="34">
        <v>5</v>
      </c>
    </row>
    <row r="34" spans="2:9" s="10" customFormat="1" ht="15.75" customHeight="1" x14ac:dyDescent="0.25">
      <c r="B34" s="32"/>
      <c r="C34" s="32"/>
      <c r="D34" s="32"/>
      <c r="E34" s="32"/>
      <c r="F34" s="32"/>
      <c r="G34" s="32"/>
      <c r="H34" s="32"/>
      <c r="I34" s="32"/>
    </row>
    <row r="35" spans="2:9" s="10" customFormat="1" ht="15.75" customHeight="1" x14ac:dyDescent="0.25">
      <c r="B35" s="35" t="s">
        <v>69</v>
      </c>
      <c r="C35" s="24" t="s">
        <v>110</v>
      </c>
      <c r="D35" s="23" t="s">
        <v>30</v>
      </c>
      <c r="E35" s="26" t="s">
        <v>120</v>
      </c>
      <c r="F35" s="26" t="s">
        <v>126</v>
      </c>
      <c r="G35" s="27"/>
      <c r="H35" s="23" t="s">
        <v>9</v>
      </c>
      <c r="I35" s="23" t="s">
        <v>54</v>
      </c>
    </row>
    <row r="36" spans="2:9" s="10" customFormat="1" ht="15.75" customHeight="1" x14ac:dyDescent="0.25">
      <c r="B36" s="32"/>
      <c r="C36" s="32"/>
      <c r="D36" s="32"/>
      <c r="E36" s="32"/>
      <c r="F36" s="32"/>
      <c r="G36" s="32"/>
      <c r="H36" s="32"/>
      <c r="I36" s="32"/>
    </row>
    <row r="37" spans="2:9" s="10" customFormat="1" ht="15.75" customHeight="1" x14ac:dyDescent="0.25">
      <c r="B37" s="30" t="s">
        <v>90</v>
      </c>
      <c r="C37" s="40" t="s">
        <v>160</v>
      </c>
      <c r="D37" s="32"/>
      <c r="E37" s="32"/>
      <c r="F37" s="32"/>
      <c r="G37" s="33" t="s">
        <v>58</v>
      </c>
      <c r="H37" s="32"/>
      <c r="I37" s="34">
        <v>6</v>
      </c>
    </row>
    <row r="38" spans="2:9" s="10" customFormat="1" ht="15.75" customHeight="1" x14ac:dyDescent="0.25">
      <c r="B38" s="30" t="s">
        <v>91</v>
      </c>
      <c r="C38" s="40" t="s">
        <v>161</v>
      </c>
      <c r="D38" s="32"/>
      <c r="E38" s="32"/>
      <c r="F38" s="32"/>
      <c r="G38" s="33" t="s">
        <v>58</v>
      </c>
      <c r="H38" s="32"/>
      <c r="I38" s="34">
        <v>4</v>
      </c>
    </row>
    <row r="39" spans="2:9" s="10" customFormat="1" ht="15.75" customHeight="1" x14ac:dyDescent="0.25">
      <c r="B39" s="30" t="s">
        <v>92</v>
      </c>
      <c r="C39" s="40" t="s">
        <v>162</v>
      </c>
      <c r="D39" s="32"/>
      <c r="E39" s="32"/>
      <c r="F39" s="32"/>
      <c r="G39" s="33" t="s">
        <v>58</v>
      </c>
      <c r="H39" s="32"/>
      <c r="I39" s="34">
        <v>5</v>
      </c>
    </row>
    <row r="40" spans="2:9" ht="15.75" customHeight="1" x14ac:dyDescent="0.25">
      <c r="B40" s="40"/>
      <c r="C40" s="40"/>
      <c r="D40" s="40"/>
      <c r="E40" s="40"/>
      <c r="F40" s="40"/>
      <c r="G40" s="40"/>
      <c r="H40" s="40"/>
      <c r="I40" s="40"/>
    </row>
    <row r="41" spans="2:9" s="10" customFormat="1" ht="15.75" customHeight="1" x14ac:dyDescent="0.25">
      <c r="B41" s="23" t="s">
        <v>100</v>
      </c>
      <c r="C41" s="24" t="s">
        <v>111</v>
      </c>
      <c r="D41" s="23" t="s">
        <v>30</v>
      </c>
      <c r="E41" s="26" t="s">
        <v>121</v>
      </c>
      <c r="F41" s="26" t="s">
        <v>127</v>
      </c>
      <c r="G41" s="27"/>
      <c r="H41" s="23" t="s">
        <v>9</v>
      </c>
      <c r="I41" s="23" t="s">
        <v>54</v>
      </c>
    </row>
    <row r="42" spans="2:9" s="10" customFormat="1" ht="15.75" customHeight="1" x14ac:dyDescent="0.25">
      <c r="B42" s="32"/>
      <c r="C42" s="32"/>
      <c r="D42" s="32"/>
      <c r="E42" s="32"/>
      <c r="F42" s="32"/>
      <c r="G42" s="32"/>
      <c r="H42" s="32"/>
      <c r="I42" s="32"/>
    </row>
    <row r="43" spans="2:9" s="10" customFormat="1" ht="15.75" customHeight="1" x14ac:dyDescent="0.25">
      <c r="B43" s="30" t="s">
        <v>130</v>
      </c>
      <c r="C43" s="40" t="s">
        <v>163</v>
      </c>
      <c r="D43" s="32"/>
      <c r="E43" s="32"/>
      <c r="F43" s="32"/>
      <c r="G43" s="33" t="s">
        <v>58</v>
      </c>
      <c r="H43" s="32"/>
      <c r="I43" s="34">
        <v>6</v>
      </c>
    </row>
    <row r="44" spans="2:9" s="10" customFormat="1" ht="15.75" customHeight="1" x14ac:dyDescent="0.25">
      <c r="B44" s="30" t="s">
        <v>131</v>
      </c>
      <c r="C44" s="40" t="s">
        <v>164</v>
      </c>
      <c r="D44" s="32"/>
      <c r="E44" s="32"/>
      <c r="F44" s="32"/>
      <c r="G44" s="33" t="s">
        <v>58</v>
      </c>
      <c r="H44" s="32"/>
      <c r="I44" s="34">
        <v>4</v>
      </c>
    </row>
    <row r="45" spans="2:9" s="10" customFormat="1" ht="15.75" customHeight="1" x14ac:dyDescent="0.25">
      <c r="B45" s="30" t="s">
        <v>132</v>
      </c>
      <c r="C45" s="40" t="s">
        <v>165</v>
      </c>
      <c r="D45" s="32"/>
      <c r="E45" s="32"/>
      <c r="F45" s="32"/>
      <c r="G45" s="33" t="s">
        <v>58</v>
      </c>
      <c r="H45" s="32"/>
      <c r="I45" s="34">
        <v>5</v>
      </c>
    </row>
    <row r="46" spans="2:9" ht="15.75" customHeight="1" x14ac:dyDescent="0.25">
      <c r="B46" s="40"/>
      <c r="C46" s="40"/>
      <c r="D46" s="40"/>
      <c r="E46" s="40"/>
      <c r="F46" s="40"/>
      <c r="G46" s="40"/>
      <c r="H46" s="40"/>
      <c r="I46" s="40"/>
    </row>
    <row r="47" spans="2:9" s="10" customFormat="1" ht="15.75" customHeight="1" x14ac:dyDescent="0.25">
      <c r="B47" s="23" t="s">
        <v>101</v>
      </c>
      <c r="C47" s="24" t="s">
        <v>112</v>
      </c>
      <c r="D47" s="23" t="s">
        <v>30</v>
      </c>
      <c r="E47" s="26" t="s">
        <v>122</v>
      </c>
      <c r="F47" s="26" t="s">
        <v>128</v>
      </c>
      <c r="G47" s="27"/>
      <c r="H47" s="23" t="s">
        <v>9</v>
      </c>
      <c r="I47" s="23" t="s">
        <v>54</v>
      </c>
    </row>
    <row r="48" spans="2:9" s="10" customFormat="1" ht="15.75" customHeight="1" x14ac:dyDescent="0.25">
      <c r="B48" s="32"/>
      <c r="C48" s="32"/>
      <c r="D48" s="32"/>
      <c r="E48" s="32"/>
      <c r="F48" s="32"/>
      <c r="G48" s="32"/>
      <c r="H48" s="32"/>
      <c r="I48" s="32"/>
    </row>
    <row r="49" spans="2:9" s="10" customFormat="1" ht="15.75" customHeight="1" x14ac:dyDescent="0.25">
      <c r="B49" s="30" t="s">
        <v>136</v>
      </c>
      <c r="C49" s="40" t="s">
        <v>166</v>
      </c>
      <c r="D49" s="32"/>
      <c r="E49" s="32"/>
      <c r="F49" s="32"/>
      <c r="G49" s="36" t="s">
        <v>59</v>
      </c>
      <c r="H49" s="32"/>
      <c r="I49" s="34">
        <v>6</v>
      </c>
    </row>
    <row r="50" spans="2:9" s="10" customFormat="1" ht="15.75" customHeight="1" x14ac:dyDescent="0.25">
      <c r="B50" s="30" t="s">
        <v>137</v>
      </c>
      <c r="C50" s="40" t="s">
        <v>167</v>
      </c>
      <c r="D50" s="32"/>
      <c r="E50" s="32"/>
      <c r="F50" s="32"/>
      <c r="G50" s="36" t="s">
        <v>59</v>
      </c>
      <c r="H50" s="32"/>
      <c r="I50" s="34">
        <v>4</v>
      </c>
    </row>
    <row r="51" spans="2:9" s="10" customFormat="1" ht="15.75" customHeight="1" x14ac:dyDescent="0.25">
      <c r="B51" s="30" t="s">
        <v>138</v>
      </c>
      <c r="C51" s="40" t="s">
        <v>168</v>
      </c>
      <c r="D51" s="32"/>
      <c r="E51" s="32"/>
      <c r="F51" s="32"/>
      <c r="G51" s="36" t="s">
        <v>59</v>
      </c>
      <c r="H51" s="32"/>
      <c r="I51" s="34">
        <v>5</v>
      </c>
    </row>
    <row r="52" spans="2:9" ht="15.75" customHeight="1" x14ac:dyDescent="0.25">
      <c r="B52" s="40"/>
      <c r="C52" s="40"/>
      <c r="D52" s="40"/>
      <c r="E52" s="40"/>
      <c r="F52" s="40"/>
      <c r="G52" s="40"/>
      <c r="H52" s="40"/>
      <c r="I52" s="40"/>
    </row>
    <row r="53" spans="2:9" s="10" customFormat="1" ht="15.75" customHeight="1" x14ac:dyDescent="0.25">
      <c r="B53" s="23" t="s">
        <v>102</v>
      </c>
      <c r="C53" s="24" t="s">
        <v>113</v>
      </c>
      <c r="D53" s="23" t="s">
        <v>30</v>
      </c>
      <c r="E53" s="26" t="s">
        <v>123</v>
      </c>
      <c r="F53" s="26" t="s">
        <v>129</v>
      </c>
      <c r="G53" s="27"/>
      <c r="H53" s="23" t="s">
        <v>9</v>
      </c>
      <c r="I53" s="23" t="s">
        <v>54</v>
      </c>
    </row>
    <row r="54" spans="2:9" s="10" customFormat="1" ht="15.75" customHeight="1" x14ac:dyDescent="0.25">
      <c r="B54" s="32"/>
      <c r="C54" s="32"/>
      <c r="D54" s="32"/>
      <c r="E54" s="32"/>
      <c r="F54" s="32"/>
      <c r="G54" s="32"/>
      <c r="H54" s="32"/>
      <c r="I54" s="32"/>
    </row>
    <row r="55" spans="2:9" s="10" customFormat="1" ht="15.75" customHeight="1" x14ac:dyDescent="0.25">
      <c r="B55" s="30" t="s">
        <v>142</v>
      </c>
      <c r="C55" s="40" t="s">
        <v>169</v>
      </c>
      <c r="D55" s="32"/>
      <c r="E55" s="32"/>
      <c r="F55" s="32"/>
      <c r="G55" s="36" t="s">
        <v>59</v>
      </c>
      <c r="H55" s="32"/>
      <c r="I55" s="34">
        <v>6</v>
      </c>
    </row>
    <row r="56" spans="2:9" s="10" customFormat="1" ht="15.75" customHeight="1" x14ac:dyDescent="0.25">
      <c r="B56" s="30" t="s">
        <v>143</v>
      </c>
      <c r="C56" s="40" t="s">
        <v>170</v>
      </c>
      <c r="D56" s="32"/>
      <c r="E56" s="32"/>
      <c r="F56" s="32"/>
      <c r="G56" s="36" t="s">
        <v>59</v>
      </c>
      <c r="H56" s="32"/>
      <c r="I56" s="34">
        <v>4</v>
      </c>
    </row>
    <row r="57" spans="2:9" s="10" customFormat="1" ht="15.75" customHeight="1" x14ac:dyDescent="0.25">
      <c r="B57" s="30" t="s">
        <v>144</v>
      </c>
      <c r="C57" s="40" t="s">
        <v>171</v>
      </c>
      <c r="D57" s="32"/>
      <c r="E57" s="32"/>
      <c r="F57" s="32"/>
      <c r="G57" s="36" t="s">
        <v>59</v>
      </c>
      <c r="H57" s="32"/>
      <c r="I57" s="34">
        <v>5</v>
      </c>
    </row>
    <row r="58" spans="2:9" ht="15.75" customHeight="1" x14ac:dyDescent="0.25">
      <c r="B58" s="40"/>
      <c r="C58" s="40"/>
      <c r="D58" s="40"/>
      <c r="E58" s="40"/>
      <c r="F58" s="40"/>
      <c r="G58" s="40"/>
      <c r="H58" s="40"/>
      <c r="I58" s="40"/>
    </row>
    <row r="59" spans="2:9" s="10" customFormat="1" ht="15.75" customHeight="1" x14ac:dyDescent="0.25">
      <c r="B59" s="23" t="s">
        <v>103</v>
      </c>
      <c r="C59" s="25" t="s">
        <v>109</v>
      </c>
      <c r="D59" s="25" t="s">
        <v>114</v>
      </c>
      <c r="E59" s="26" t="s">
        <v>124</v>
      </c>
      <c r="F59" s="26" t="s">
        <v>125</v>
      </c>
      <c r="G59" s="27"/>
      <c r="H59" s="23" t="s">
        <v>9</v>
      </c>
      <c r="I59" s="23" t="s">
        <v>54</v>
      </c>
    </row>
    <row r="60" spans="2:9" s="10" customFormat="1" ht="15.75" customHeight="1" x14ac:dyDescent="0.25">
      <c r="B60" s="32"/>
      <c r="C60" s="32"/>
      <c r="D60" s="32"/>
      <c r="E60" s="32"/>
      <c r="F60" s="32"/>
      <c r="G60" s="32"/>
      <c r="H60" s="32"/>
      <c r="I60" s="32"/>
    </row>
    <row r="61" spans="2:9" s="10" customFormat="1" ht="15.75" customHeight="1" x14ac:dyDescent="0.25">
      <c r="B61" s="30" t="s">
        <v>148</v>
      </c>
      <c r="C61" s="40" t="s">
        <v>145</v>
      </c>
      <c r="D61" s="32"/>
      <c r="E61" s="32"/>
      <c r="F61" s="32"/>
      <c r="G61" s="33" t="s">
        <v>43</v>
      </c>
      <c r="H61" s="32"/>
      <c r="I61" s="34">
        <v>6</v>
      </c>
    </row>
    <row r="62" spans="2:9" s="10" customFormat="1" ht="15.75" customHeight="1" x14ac:dyDescent="0.25">
      <c r="B62" s="30" t="s">
        <v>149</v>
      </c>
      <c r="C62" s="40" t="s">
        <v>146</v>
      </c>
      <c r="D62" s="32"/>
      <c r="E62" s="32"/>
      <c r="F62" s="32"/>
      <c r="G62" s="33" t="s">
        <v>43</v>
      </c>
      <c r="H62" s="32"/>
      <c r="I62" s="34">
        <v>4</v>
      </c>
    </row>
    <row r="63" spans="2:9" s="10" customFormat="1" ht="15.75" customHeight="1" x14ac:dyDescent="0.25">
      <c r="B63" s="30" t="s">
        <v>150</v>
      </c>
      <c r="C63" s="40" t="s">
        <v>147</v>
      </c>
      <c r="D63" s="32"/>
      <c r="E63" s="32"/>
      <c r="F63" s="32"/>
      <c r="G63" s="33" t="s">
        <v>43</v>
      </c>
      <c r="H63" s="32"/>
      <c r="I63" s="34">
        <v>5</v>
      </c>
    </row>
    <row r="64" spans="2:9" ht="15.75" customHeight="1" x14ac:dyDescent="0.25">
      <c r="B64" s="40"/>
      <c r="C64" s="40"/>
      <c r="D64" s="40"/>
      <c r="E64" s="40"/>
      <c r="F64" s="40"/>
      <c r="G64" s="40"/>
      <c r="H64" s="40"/>
      <c r="I64" s="40"/>
    </row>
    <row r="65" spans="2:9" s="10" customFormat="1" ht="15.75" customHeight="1" x14ac:dyDescent="0.25">
      <c r="B65" s="23" t="s">
        <v>104</v>
      </c>
      <c r="C65" s="24" t="s">
        <v>67</v>
      </c>
      <c r="D65" s="35" t="s">
        <v>30</v>
      </c>
      <c r="E65" s="39" t="s">
        <v>73</v>
      </c>
      <c r="F65" s="35" t="s">
        <v>57</v>
      </c>
      <c r="G65" s="39"/>
      <c r="H65" s="35" t="s">
        <v>9</v>
      </c>
      <c r="I65" s="23" t="s">
        <v>115</v>
      </c>
    </row>
    <row r="66" spans="2:9" s="10" customFormat="1" ht="15.75" customHeight="1" x14ac:dyDescent="0.25">
      <c r="B66" s="32"/>
      <c r="C66" s="32"/>
      <c r="D66" s="32"/>
      <c r="E66" s="32"/>
      <c r="F66" s="32"/>
      <c r="G66" s="32"/>
      <c r="H66" s="32"/>
      <c r="I66" s="32"/>
    </row>
    <row r="67" spans="2:9" s="10" customFormat="1" ht="15.75" customHeight="1" x14ac:dyDescent="0.25">
      <c r="B67" s="30" t="s">
        <v>151</v>
      </c>
      <c r="C67" s="32" t="s">
        <v>93</v>
      </c>
      <c r="D67" s="32"/>
      <c r="E67" s="32"/>
      <c r="F67" s="32"/>
      <c r="G67" s="33" t="s">
        <v>60</v>
      </c>
      <c r="H67" s="32"/>
      <c r="I67" s="34">
        <v>6</v>
      </c>
    </row>
    <row r="68" spans="2:9" s="10" customFormat="1" ht="15.75" customHeight="1" x14ac:dyDescent="0.25">
      <c r="B68" s="30" t="s">
        <v>152</v>
      </c>
      <c r="C68" s="32" t="s">
        <v>95</v>
      </c>
      <c r="D68" s="32"/>
      <c r="E68" s="32"/>
      <c r="F68" s="32"/>
      <c r="G68" s="33" t="s">
        <v>60</v>
      </c>
      <c r="H68" s="32"/>
      <c r="I68" s="34">
        <v>4</v>
      </c>
    </row>
    <row r="69" spans="2:9" s="10" customFormat="1" ht="15.75" customHeight="1" x14ac:dyDescent="0.25">
      <c r="B69" s="30" t="s">
        <v>153</v>
      </c>
      <c r="C69" s="32" t="s">
        <v>94</v>
      </c>
      <c r="D69" s="32"/>
      <c r="E69" s="32"/>
      <c r="F69" s="32"/>
      <c r="G69" s="33" t="s">
        <v>60</v>
      </c>
      <c r="H69" s="32"/>
      <c r="I69" s="34">
        <v>5</v>
      </c>
    </row>
    <row r="70" spans="2:9" ht="15.75" customHeight="1" x14ac:dyDescent="0.25">
      <c r="B70" s="40"/>
      <c r="C70" s="40"/>
      <c r="D70" s="40"/>
      <c r="E70" s="40"/>
      <c r="F70" s="40"/>
      <c r="G70" s="40"/>
      <c r="H70" s="40"/>
      <c r="I70" s="40"/>
    </row>
    <row r="71" spans="2:9" ht="15.75" customHeight="1" x14ac:dyDescent="0.25"/>
    <row r="72" spans="2:9" ht="15.75" customHeight="1" x14ac:dyDescent="0.25"/>
    <row r="73" spans="2:9" ht="15.75" customHeight="1" x14ac:dyDescent="0.25"/>
    <row r="74" spans="2:9" ht="15.75" customHeight="1" x14ac:dyDescent="0.25"/>
    <row r="75" spans="2:9" ht="15.75" customHeight="1" x14ac:dyDescent="0.25"/>
    <row r="76" spans="2:9" ht="15.75" customHeight="1" x14ac:dyDescent="0.25"/>
    <row r="77" spans="2:9" ht="15.75" customHeight="1" x14ac:dyDescent="0.25"/>
    <row r="78" spans="2:9" ht="15.75" customHeight="1" x14ac:dyDescent="0.25"/>
    <row r="79" spans="2:9" ht="15.75" customHeight="1" x14ac:dyDescent="0.25"/>
    <row r="80" spans="2:9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</sheetData>
  <mergeCells count="13">
    <mergeCell ref="C27:F27"/>
    <mergeCell ref="C15:F15"/>
    <mergeCell ref="C19:F19"/>
    <mergeCell ref="C20:F20"/>
    <mergeCell ref="C21:F21"/>
    <mergeCell ref="C25:F25"/>
    <mergeCell ref="C26:F26"/>
    <mergeCell ref="C14:F14"/>
    <mergeCell ref="C6:F6"/>
    <mergeCell ref="C7:F7"/>
    <mergeCell ref="C8:F8"/>
    <mergeCell ref="C12:F12"/>
    <mergeCell ref="C13:F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B4D37-447B-4D2E-845C-02BA9B0A2FF3}">
  <dimension ref="B1:I953"/>
  <sheetViews>
    <sheetView tabSelected="1" topLeftCell="A55" zoomScale="68" zoomScaleNormal="68" workbookViewId="0">
      <selection activeCell="B84" sqref="B84"/>
    </sheetView>
  </sheetViews>
  <sheetFormatPr baseColWidth="10" defaultColWidth="12.5546875" defaultRowHeight="13.2" x14ac:dyDescent="0.25"/>
  <cols>
    <col min="1" max="2" width="12.44140625" customWidth="1"/>
    <col min="3" max="3" width="69.109375" customWidth="1"/>
    <col min="4" max="4" width="26.44140625" customWidth="1"/>
    <col min="5" max="5" width="45.109375" customWidth="1"/>
    <col min="6" max="6" width="62.109375" customWidth="1"/>
    <col min="7" max="26" width="12.44140625" customWidth="1"/>
  </cols>
  <sheetData>
    <row r="1" spans="2:9" ht="15.75" customHeight="1" x14ac:dyDescent="0.25"/>
    <row r="2" spans="2:9" ht="15.75" customHeight="1" x14ac:dyDescent="0.25"/>
    <row r="3" spans="2:9" ht="15.6" customHeight="1" x14ac:dyDescent="0.25">
      <c r="B3" s="1" t="s">
        <v>10</v>
      </c>
      <c r="C3" s="1" t="s">
        <v>1</v>
      </c>
      <c r="D3" s="1" t="s">
        <v>2</v>
      </c>
      <c r="E3" s="1" t="s">
        <v>11</v>
      </c>
      <c r="F3" s="1" t="s">
        <v>12</v>
      </c>
      <c r="G3" s="1" t="s">
        <v>5</v>
      </c>
      <c r="H3" s="1" t="s">
        <v>13</v>
      </c>
      <c r="I3" s="1" t="s">
        <v>14</v>
      </c>
    </row>
    <row r="4" spans="2:9" s="9" customFormat="1" ht="15.75" customHeight="1" x14ac:dyDescent="0.25">
      <c r="B4" s="28" t="s">
        <v>8</v>
      </c>
      <c r="C4" s="28" t="s">
        <v>50</v>
      </c>
      <c r="D4" s="28" t="s">
        <v>51</v>
      </c>
      <c r="E4" s="28" t="s">
        <v>52</v>
      </c>
      <c r="F4" s="28" t="s">
        <v>53</v>
      </c>
      <c r="G4" s="29"/>
      <c r="H4" s="28" t="s">
        <v>9</v>
      </c>
      <c r="I4" s="23" t="s">
        <v>115</v>
      </c>
    </row>
    <row r="5" spans="2:9" s="9" customFormat="1" ht="15.75" customHeight="1" x14ac:dyDescent="0.25">
      <c r="B5" s="30"/>
      <c r="C5" s="31" t="s">
        <v>15</v>
      </c>
      <c r="D5" s="30"/>
      <c r="E5" s="30"/>
      <c r="F5" s="30"/>
      <c r="G5" s="31" t="s">
        <v>16</v>
      </c>
      <c r="H5" s="30"/>
      <c r="I5" s="31" t="s">
        <v>17</v>
      </c>
    </row>
    <row r="6" spans="2:9" s="10" customFormat="1" ht="15.75" customHeight="1" x14ac:dyDescent="0.25">
      <c r="B6" s="30" t="s">
        <v>18</v>
      </c>
      <c r="C6" s="41" t="s">
        <v>77</v>
      </c>
      <c r="D6" s="42"/>
      <c r="E6" s="42"/>
      <c r="F6" s="42"/>
      <c r="G6" s="33" t="s">
        <v>43</v>
      </c>
      <c r="H6" s="30"/>
      <c r="I6" s="34">
        <v>5</v>
      </c>
    </row>
    <row r="7" spans="2:9" s="10" customFormat="1" ht="15.75" customHeight="1" x14ac:dyDescent="0.25">
      <c r="B7" s="30" t="s">
        <v>19</v>
      </c>
      <c r="C7" s="41" t="s">
        <v>45</v>
      </c>
      <c r="D7" s="42"/>
      <c r="E7" s="42"/>
      <c r="F7" s="42"/>
      <c r="G7" s="33" t="s">
        <v>43</v>
      </c>
      <c r="H7" s="30"/>
      <c r="I7" s="34">
        <v>4</v>
      </c>
    </row>
    <row r="8" spans="2:9" s="9" customFormat="1" ht="15.75" customHeight="1" x14ac:dyDescent="0.25">
      <c r="B8" s="30" t="s">
        <v>20</v>
      </c>
      <c r="C8" s="41" t="s">
        <v>44</v>
      </c>
      <c r="D8" s="42"/>
      <c r="E8" s="42"/>
      <c r="F8" s="42"/>
      <c r="G8" s="33" t="s">
        <v>43</v>
      </c>
      <c r="H8" s="30"/>
      <c r="I8" s="34">
        <v>4</v>
      </c>
    </row>
    <row r="9" spans="2:9" s="9" customFormat="1" ht="15.75" customHeight="1" x14ac:dyDescent="0.25">
      <c r="B9" s="30"/>
      <c r="C9" s="30"/>
      <c r="D9" s="32"/>
      <c r="E9" s="32"/>
      <c r="F9" s="32"/>
      <c r="G9" s="33"/>
      <c r="H9" s="30"/>
      <c r="I9" s="34"/>
    </row>
    <row r="10" spans="2:9" s="10" customFormat="1" ht="15.75" customHeight="1" x14ac:dyDescent="0.25">
      <c r="B10" s="35" t="s">
        <v>31</v>
      </c>
      <c r="C10" s="24" t="s">
        <v>63</v>
      </c>
      <c r="D10" s="35" t="s">
        <v>30</v>
      </c>
      <c r="E10" s="35" t="s">
        <v>55</v>
      </c>
      <c r="F10" s="35" t="s">
        <v>56</v>
      </c>
      <c r="G10" s="35"/>
      <c r="H10" s="35" t="s">
        <v>9</v>
      </c>
      <c r="I10" s="23" t="s">
        <v>115</v>
      </c>
    </row>
    <row r="11" spans="2:9" s="10" customFormat="1" ht="15.75" customHeight="1" x14ac:dyDescent="0.25">
      <c r="B11" s="30"/>
      <c r="C11" s="31" t="s">
        <v>15</v>
      </c>
      <c r="D11" s="30"/>
      <c r="E11" s="30"/>
      <c r="F11" s="30"/>
      <c r="G11" s="31" t="s">
        <v>16</v>
      </c>
      <c r="H11" s="30"/>
      <c r="I11" s="31" t="s">
        <v>17</v>
      </c>
    </row>
    <row r="12" spans="2:9" s="10" customFormat="1" ht="15.75" customHeight="1" x14ac:dyDescent="0.25">
      <c r="B12" s="30" t="s">
        <v>34</v>
      </c>
      <c r="C12" s="41" t="s">
        <v>78</v>
      </c>
      <c r="D12" s="41" t="s">
        <v>46</v>
      </c>
      <c r="E12" s="41" t="s">
        <v>46</v>
      </c>
      <c r="F12" s="41" t="s">
        <v>46</v>
      </c>
      <c r="G12" s="36" t="s">
        <v>59</v>
      </c>
      <c r="H12" s="30"/>
      <c r="I12" s="34">
        <v>6</v>
      </c>
    </row>
    <row r="13" spans="2:9" s="10" customFormat="1" ht="15.75" customHeight="1" x14ac:dyDescent="0.25">
      <c r="B13" s="30" t="s">
        <v>35</v>
      </c>
      <c r="C13" s="41" t="s">
        <v>79</v>
      </c>
      <c r="D13" s="41" t="s">
        <v>47</v>
      </c>
      <c r="E13" s="41" t="s">
        <v>47</v>
      </c>
      <c r="F13" s="41" t="s">
        <v>47</v>
      </c>
      <c r="G13" s="36" t="s">
        <v>59</v>
      </c>
      <c r="H13" s="30"/>
      <c r="I13" s="34">
        <v>4</v>
      </c>
    </row>
    <row r="14" spans="2:9" s="10" customFormat="1" ht="15.75" customHeight="1" x14ac:dyDescent="0.25">
      <c r="B14" s="30" t="s">
        <v>36</v>
      </c>
      <c r="C14" s="41" t="s">
        <v>80</v>
      </c>
      <c r="D14" s="41" t="s">
        <v>48</v>
      </c>
      <c r="E14" s="41" t="s">
        <v>48</v>
      </c>
      <c r="F14" s="41" t="s">
        <v>48</v>
      </c>
      <c r="G14" s="36" t="s">
        <v>59</v>
      </c>
      <c r="H14" s="30"/>
      <c r="I14" s="34">
        <v>5</v>
      </c>
    </row>
    <row r="15" spans="2:9" s="10" customFormat="1" ht="15.75" customHeight="1" x14ac:dyDescent="0.25">
      <c r="B15" s="30" t="s">
        <v>61</v>
      </c>
      <c r="C15" s="41" t="s">
        <v>81</v>
      </c>
      <c r="D15" s="41" t="s">
        <v>49</v>
      </c>
      <c r="E15" s="41" t="s">
        <v>49</v>
      </c>
      <c r="F15" s="41" t="s">
        <v>49</v>
      </c>
      <c r="G15" s="36" t="s">
        <v>59</v>
      </c>
      <c r="H15" s="32"/>
      <c r="I15" s="34">
        <v>5</v>
      </c>
    </row>
    <row r="16" spans="2:9" s="10" customFormat="1" ht="15.75" customHeight="1" x14ac:dyDescent="0.25">
      <c r="B16" s="30"/>
      <c r="C16" s="30"/>
      <c r="D16" s="30"/>
      <c r="E16" s="30"/>
      <c r="F16" s="30"/>
      <c r="G16" s="32"/>
      <c r="H16" s="32"/>
      <c r="I16" s="32"/>
    </row>
    <row r="17" spans="2:9" s="10" customFormat="1" ht="15.75" customHeight="1" x14ac:dyDescent="0.25">
      <c r="B17" s="35" t="s">
        <v>32</v>
      </c>
      <c r="C17" s="24" t="s">
        <v>64</v>
      </c>
      <c r="D17" s="35" t="s">
        <v>30</v>
      </c>
      <c r="E17" s="35" t="s">
        <v>70</v>
      </c>
      <c r="F17" s="35" t="s">
        <v>74</v>
      </c>
      <c r="G17" s="37"/>
      <c r="H17" s="35" t="s">
        <v>9</v>
      </c>
      <c r="I17" s="23" t="s">
        <v>115</v>
      </c>
    </row>
    <row r="18" spans="2:9" s="10" customFormat="1" ht="15.75" customHeight="1" x14ac:dyDescent="0.25">
      <c r="B18" s="30"/>
      <c r="C18" s="31" t="s">
        <v>15</v>
      </c>
      <c r="D18" s="30"/>
      <c r="E18" s="30"/>
      <c r="F18" s="30"/>
      <c r="G18" s="31" t="s">
        <v>16</v>
      </c>
      <c r="H18" s="30"/>
      <c r="I18" s="31" t="s">
        <v>17</v>
      </c>
    </row>
    <row r="19" spans="2:9" s="10" customFormat="1" ht="15.75" customHeight="1" x14ac:dyDescent="0.25">
      <c r="B19" s="30" t="s">
        <v>37</v>
      </c>
      <c r="C19" s="41" t="s">
        <v>86</v>
      </c>
      <c r="D19" s="41" t="s">
        <v>46</v>
      </c>
      <c r="E19" s="41" t="s">
        <v>46</v>
      </c>
      <c r="F19" s="41" t="s">
        <v>46</v>
      </c>
      <c r="G19" s="33" t="s">
        <v>43</v>
      </c>
      <c r="H19" s="30"/>
      <c r="I19" s="34">
        <v>4</v>
      </c>
    </row>
    <row r="20" spans="2:9" s="10" customFormat="1" ht="15.75" customHeight="1" x14ac:dyDescent="0.25">
      <c r="B20" s="30" t="s">
        <v>38</v>
      </c>
      <c r="C20" s="41" t="s">
        <v>87</v>
      </c>
      <c r="D20" s="41" t="s">
        <v>47</v>
      </c>
      <c r="E20" s="41" t="s">
        <v>47</v>
      </c>
      <c r="F20" s="41" t="s">
        <v>47</v>
      </c>
      <c r="G20" s="33" t="s">
        <v>43</v>
      </c>
      <c r="H20" s="30"/>
      <c r="I20" s="34">
        <v>4</v>
      </c>
    </row>
    <row r="21" spans="2:9" s="10" customFormat="1" ht="15.75" customHeight="1" x14ac:dyDescent="0.25">
      <c r="B21" s="30" t="s">
        <v>39</v>
      </c>
      <c r="C21" s="41" t="s">
        <v>82</v>
      </c>
      <c r="D21" s="41" t="s">
        <v>49</v>
      </c>
      <c r="E21" s="41" t="s">
        <v>49</v>
      </c>
      <c r="F21" s="41" t="s">
        <v>49</v>
      </c>
      <c r="G21" s="33" t="s">
        <v>43</v>
      </c>
      <c r="H21" s="30"/>
      <c r="I21" s="34">
        <v>3</v>
      </c>
    </row>
    <row r="22" spans="2:9" s="10" customFormat="1" ht="15.75" customHeight="1" x14ac:dyDescent="0.25">
      <c r="B22" s="30"/>
      <c r="C22" s="30"/>
      <c r="D22" s="30"/>
      <c r="E22" s="30"/>
      <c r="F22" s="30"/>
      <c r="G22" s="32"/>
      <c r="H22" s="32"/>
      <c r="I22" s="32"/>
    </row>
    <row r="23" spans="2:9" s="10" customFormat="1" ht="15.75" customHeight="1" x14ac:dyDescent="0.25">
      <c r="B23" s="35" t="s">
        <v>33</v>
      </c>
      <c r="C23" s="24" t="s">
        <v>65</v>
      </c>
      <c r="D23" s="35" t="s">
        <v>30</v>
      </c>
      <c r="E23" s="35" t="s">
        <v>71</v>
      </c>
      <c r="F23" s="35" t="s">
        <v>75</v>
      </c>
      <c r="G23" s="37"/>
      <c r="H23" s="35" t="s">
        <v>9</v>
      </c>
      <c r="I23" s="23" t="s">
        <v>115</v>
      </c>
    </row>
    <row r="24" spans="2:9" s="10" customFormat="1" ht="15.75" customHeight="1" x14ac:dyDescent="0.25">
      <c r="B24" s="30"/>
      <c r="C24" s="31" t="s">
        <v>15</v>
      </c>
      <c r="D24" s="30"/>
      <c r="E24" s="30"/>
      <c r="F24" s="30"/>
      <c r="G24" s="31" t="s">
        <v>16</v>
      </c>
      <c r="H24" s="30"/>
      <c r="I24" s="31" t="s">
        <v>17</v>
      </c>
    </row>
    <row r="25" spans="2:9" s="10" customFormat="1" ht="15.75" customHeight="1" x14ac:dyDescent="0.25">
      <c r="B25" s="30" t="s">
        <v>40</v>
      </c>
      <c r="C25" s="41" t="s">
        <v>97</v>
      </c>
      <c r="D25" s="41" t="s">
        <v>46</v>
      </c>
      <c r="E25" s="41" t="s">
        <v>46</v>
      </c>
      <c r="F25" s="41" t="s">
        <v>46</v>
      </c>
      <c r="G25" s="33" t="s">
        <v>58</v>
      </c>
      <c r="H25" s="30"/>
      <c r="I25" s="34">
        <v>6</v>
      </c>
    </row>
    <row r="26" spans="2:9" s="10" customFormat="1" ht="15.75" customHeight="1" x14ac:dyDescent="0.25">
      <c r="B26" s="30" t="s">
        <v>41</v>
      </c>
      <c r="C26" s="41" t="s">
        <v>98</v>
      </c>
      <c r="D26" s="41" t="s">
        <v>47</v>
      </c>
      <c r="E26" s="41" t="s">
        <v>47</v>
      </c>
      <c r="F26" s="41" t="s">
        <v>47</v>
      </c>
      <c r="G26" s="33" t="s">
        <v>58</v>
      </c>
      <c r="H26" s="30"/>
      <c r="I26" s="34">
        <v>4</v>
      </c>
    </row>
    <row r="27" spans="2:9" s="10" customFormat="1" ht="15.75" customHeight="1" x14ac:dyDescent="0.25">
      <c r="B27" s="30" t="s">
        <v>42</v>
      </c>
      <c r="C27" s="41" t="s">
        <v>96</v>
      </c>
      <c r="D27" s="41" t="s">
        <v>48</v>
      </c>
      <c r="E27" s="41" t="s">
        <v>48</v>
      </c>
      <c r="F27" s="41" t="s">
        <v>48</v>
      </c>
      <c r="G27" s="33" t="s">
        <v>58</v>
      </c>
      <c r="H27" s="30"/>
      <c r="I27" s="34">
        <v>5</v>
      </c>
    </row>
    <row r="28" spans="2:9" s="10" customFormat="1" ht="15.75" customHeight="1" x14ac:dyDescent="0.25">
      <c r="B28" s="32"/>
      <c r="C28" s="32"/>
      <c r="D28" s="32"/>
      <c r="E28" s="32"/>
      <c r="F28" s="32"/>
      <c r="G28" s="32"/>
      <c r="H28" s="32"/>
      <c r="I28" s="32"/>
    </row>
    <row r="29" spans="2:9" s="10" customFormat="1" ht="15.75" customHeight="1" x14ac:dyDescent="0.25">
      <c r="B29" s="35" t="s">
        <v>68</v>
      </c>
      <c r="C29" s="38" t="s">
        <v>66</v>
      </c>
      <c r="D29" s="35" t="s">
        <v>30</v>
      </c>
      <c r="E29" s="35" t="s">
        <v>72</v>
      </c>
      <c r="F29" s="35" t="s">
        <v>76</v>
      </c>
      <c r="G29" s="37"/>
      <c r="H29" s="35" t="s">
        <v>9</v>
      </c>
      <c r="I29" s="23" t="s">
        <v>115</v>
      </c>
    </row>
    <row r="30" spans="2:9" s="10" customFormat="1" ht="15.75" customHeight="1" x14ac:dyDescent="0.25">
      <c r="B30" s="32"/>
      <c r="C30" s="32"/>
      <c r="D30" s="32"/>
      <c r="E30" s="32"/>
      <c r="F30" s="32"/>
      <c r="G30" s="32"/>
      <c r="H30" s="32"/>
      <c r="I30" s="32"/>
    </row>
    <row r="31" spans="2:9" s="10" customFormat="1" ht="15.75" customHeight="1" x14ac:dyDescent="0.25">
      <c r="B31" s="30" t="s">
        <v>83</v>
      </c>
      <c r="C31" s="32" t="s">
        <v>99</v>
      </c>
      <c r="D31" s="32"/>
      <c r="E31" s="32"/>
      <c r="F31" s="32"/>
      <c r="G31" s="33" t="s">
        <v>58</v>
      </c>
      <c r="H31" s="32"/>
      <c r="I31" s="34">
        <v>6</v>
      </c>
    </row>
    <row r="32" spans="2:9" s="10" customFormat="1" ht="15.75" customHeight="1" x14ac:dyDescent="0.25">
      <c r="B32" s="30" t="s">
        <v>84</v>
      </c>
      <c r="C32" s="32" t="s">
        <v>88</v>
      </c>
      <c r="D32" s="32"/>
      <c r="E32" s="32"/>
      <c r="F32" s="32"/>
      <c r="G32" s="33" t="s">
        <v>58</v>
      </c>
      <c r="H32" s="32"/>
      <c r="I32" s="34">
        <v>4</v>
      </c>
    </row>
    <row r="33" spans="2:9" s="10" customFormat="1" ht="15.75" customHeight="1" x14ac:dyDescent="0.25">
      <c r="B33" s="30" t="s">
        <v>85</v>
      </c>
      <c r="C33" s="32" t="s">
        <v>89</v>
      </c>
      <c r="D33" s="32"/>
      <c r="E33" s="32"/>
      <c r="F33" s="32"/>
      <c r="G33" s="33" t="s">
        <v>58</v>
      </c>
      <c r="H33" s="32"/>
      <c r="I33" s="34">
        <v>5</v>
      </c>
    </row>
    <row r="34" spans="2:9" s="10" customFormat="1" ht="15.75" customHeight="1" x14ac:dyDescent="0.25">
      <c r="B34" s="32"/>
      <c r="C34" s="32"/>
      <c r="D34" s="32"/>
      <c r="E34" s="32"/>
      <c r="F34" s="32"/>
      <c r="G34" s="32"/>
      <c r="H34" s="32"/>
      <c r="I34" s="32"/>
    </row>
    <row r="35" spans="2:9" s="10" customFormat="1" ht="15.75" customHeight="1" x14ac:dyDescent="0.25">
      <c r="B35" s="35" t="s">
        <v>69</v>
      </c>
      <c r="C35" s="24" t="s">
        <v>110</v>
      </c>
      <c r="D35" s="23" t="s">
        <v>30</v>
      </c>
      <c r="E35" s="26" t="s">
        <v>120</v>
      </c>
      <c r="F35" s="26" t="s">
        <v>126</v>
      </c>
      <c r="G35" s="27"/>
      <c r="H35" s="23" t="s">
        <v>9</v>
      </c>
      <c r="I35" s="23" t="s">
        <v>54</v>
      </c>
    </row>
    <row r="36" spans="2:9" s="10" customFormat="1" ht="15.75" customHeight="1" x14ac:dyDescent="0.25">
      <c r="B36" s="32"/>
      <c r="C36" s="32"/>
      <c r="D36" s="32"/>
      <c r="E36" s="32"/>
      <c r="F36" s="32"/>
      <c r="G36" s="32"/>
      <c r="H36" s="32"/>
      <c r="I36" s="32"/>
    </row>
    <row r="37" spans="2:9" s="10" customFormat="1" ht="15.75" customHeight="1" x14ac:dyDescent="0.25">
      <c r="B37" s="30" t="s">
        <v>90</v>
      </c>
      <c r="C37" s="40" t="s">
        <v>160</v>
      </c>
      <c r="D37" s="32"/>
      <c r="E37" s="32"/>
      <c r="F37" s="32"/>
      <c r="G37" s="33" t="s">
        <v>58</v>
      </c>
      <c r="H37" s="32"/>
      <c r="I37" s="34">
        <v>6</v>
      </c>
    </row>
    <row r="38" spans="2:9" s="10" customFormat="1" ht="15.75" customHeight="1" x14ac:dyDescent="0.25">
      <c r="B38" s="30" t="s">
        <v>91</v>
      </c>
      <c r="C38" s="40" t="s">
        <v>161</v>
      </c>
      <c r="D38" s="32"/>
      <c r="E38" s="32"/>
      <c r="F38" s="32"/>
      <c r="G38" s="33" t="s">
        <v>58</v>
      </c>
      <c r="H38" s="32"/>
      <c r="I38" s="34">
        <v>4</v>
      </c>
    </row>
    <row r="39" spans="2:9" s="10" customFormat="1" ht="15.75" customHeight="1" x14ac:dyDescent="0.25">
      <c r="B39" s="30" t="s">
        <v>92</v>
      </c>
      <c r="C39" s="40" t="s">
        <v>162</v>
      </c>
      <c r="D39" s="32"/>
      <c r="E39" s="32"/>
      <c r="F39" s="32"/>
      <c r="G39" s="33" t="s">
        <v>58</v>
      </c>
      <c r="H39" s="32"/>
      <c r="I39" s="34">
        <v>5</v>
      </c>
    </row>
    <row r="40" spans="2:9" ht="15.75" customHeight="1" x14ac:dyDescent="0.25">
      <c r="B40" s="40"/>
      <c r="C40" s="40"/>
      <c r="D40" s="40"/>
      <c r="E40" s="40"/>
      <c r="F40" s="40"/>
      <c r="G40" s="40"/>
      <c r="H40" s="40"/>
      <c r="I40" s="40"/>
    </row>
    <row r="41" spans="2:9" s="10" customFormat="1" ht="15.75" customHeight="1" x14ac:dyDescent="0.25">
      <c r="B41" s="23" t="s">
        <v>100</v>
      </c>
      <c r="C41" s="24" t="s">
        <v>111</v>
      </c>
      <c r="D41" s="23" t="s">
        <v>30</v>
      </c>
      <c r="E41" s="26" t="s">
        <v>121</v>
      </c>
      <c r="F41" s="26" t="s">
        <v>127</v>
      </c>
      <c r="G41" s="27"/>
      <c r="H41" s="23" t="s">
        <v>9</v>
      </c>
      <c r="I41" s="23" t="s">
        <v>54</v>
      </c>
    </row>
    <row r="42" spans="2:9" s="10" customFormat="1" ht="15.75" customHeight="1" x14ac:dyDescent="0.25">
      <c r="B42" s="32"/>
      <c r="C42" s="32"/>
      <c r="D42" s="32"/>
      <c r="E42" s="32"/>
      <c r="F42" s="32"/>
      <c r="G42" s="32"/>
      <c r="H42" s="32"/>
      <c r="I42" s="32"/>
    </row>
    <row r="43" spans="2:9" s="10" customFormat="1" ht="15.75" customHeight="1" x14ac:dyDescent="0.25">
      <c r="B43" s="30" t="s">
        <v>130</v>
      </c>
      <c r="C43" s="40" t="s">
        <v>163</v>
      </c>
      <c r="D43" s="32"/>
      <c r="E43" s="32"/>
      <c r="F43" s="32"/>
      <c r="G43" s="33" t="s">
        <v>58</v>
      </c>
      <c r="H43" s="32"/>
      <c r="I43" s="34">
        <v>6</v>
      </c>
    </row>
    <row r="44" spans="2:9" s="10" customFormat="1" ht="15.75" customHeight="1" x14ac:dyDescent="0.25">
      <c r="B44" s="30" t="s">
        <v>131</v>
      </c>
      <c r="C44" s="40" t="s">
        <v>164</v>
      </c>
      <c r="D44" s="32"/>
      <c r="E44" s="32"/>
      <c r="F44" s="32"/>
      <c r="G44" s="33" t="s">
        <v>58</v>
      </c>
      <c r="H44" s="32"/>
      <c r="I44" s="34">
        <v>4</v>
      </c>
    </row>
    <row r="45" spans="2:9" s="10" customFormat="1" ht="15.75" customHeight="1" x14ac:dyDescent="0.25">
      <c r="B45" s="30" t="s">
        <v>132</v>
      </c>
      <c r="C45" s="40" t="s">
        <v>165</v>
      </c>
      <c r="D45" s="32"/>
      <c r="E45" s="32"/>
      <c r="F45" s="32"/>
      <c r="G45" s="33" t="s">
        <v>58</v>
      </c>
      <c r="H45" s="32"/>
      <c r="I45" s="34">
        <v>5</v>
      </c>
    </row>
    <row r="46" spans="2:9" ht="15.75" customHeight="1" x14ac:dyDescent="0.25">
      <c r="B46" s="40"/>
      <c r="C46" s="40"/>
      <c r="D46" s="40"/>
      <c r="E46" s="40"/>
      <c r="F46" s="40"/>
      <c r="G46" s="40"/>
      <c r="H46" s="40"/>
      <c r="I46" s="40"/>
    </row>
    <row r="47" spans="2:9" s="10" customFormat="1" ht="15.75" customHeight="1" x14ac:dyDescent="0.25">
      <c r="B47" s="23" t="s">
        <v>101</v>
      </c>
      <c r="C47" s="24" t="s">
        <v>112</v>
      </c>
      <c r="D47" s="23" t="s">
        <v>30</v>
      </c>
      <c r="E47" s="26" t="s">
        <v>122</v>
      </c>
      <c r="F47" s="26" t="s">
        <v>128</v>
      </c>
      <c r="G47" s="27"/>
      <c r="H47" s="23" t="s">
        <v>9</v>
      </c>
      <c r="I47" s="23" t="s">
        <v>54</v>
      </c>
    </row>
    <row r="48" spans="2:9" s="10" customFormat="1" ht="15.75" customHeight="1" x14ac:dyDescent="0.25">
      <c r="B48" s="32"/>
      <c r="C48" s="32"/>
      <c r="D48" s="32"/>
      <c r="E48" s="32"/>
      <c r="F48" s="32"/>
      <c r="G48" s="32"/>
      <c r="H48" s="32"/>
      <c r="I48" s="32"/>
    </row>
    <row r="49" spans="2:9" s="10" customFormat="1" ht="15.75" customHeight="1" x14ac:dyDescent="0.25">
      <c r="B49" s="30" t="s">
        <v>136</v>
      </c>
      <c r="C49" s="40" t="s">
        <v>166</v>
      </c>
      <c r="D49" s="32"/>
      <c r="E49" s="32"/>
      <c r="F49" s="32"/>
      <c r="G49" s="36" t="s">
        <v>59</v>
      </c>
      <c r="H49" s="32"/>
      <c r="I49" s="34">
        <v>6</v>
      </c>
    </row>
    <row r="50" spans="2:9" s="10" customFormat="1" ht="15.75" customHeight="1" x14ac:dyDescent="0.25">
      <c r="B50" s="30" t="s">
        <v>137</v>
      </c>
      <c r="C50" s="40" t="s">
        <v>167</v>
      </c>
      <c r="D50" s="32"/>
      <c r="E50" s="32"/>
      <c r="F50" s="32"/>
      <c r="G50" s="36" t="s">
        <v>59</v>
      </c>
      <c r="H50" s="32"/>
      <c r="I50" s="34">
        <v>4</v>
      </c>
    </row>
    <row r="51" spans="2:9" s="10" customFormat="1" ht="15.75" customHeight="1" x14ac:dyDescent="0.25">
      <c r="B51" s="30" t="s">
        <v>138</v>
      </c>
      <c r="C51" s="40" t="s">
        <v>168</v>
      </c>
      <c r="D51" s="32"/>
      <c r="E51" s="32"/>
      <c r="F51" s="32"/>
      <c r="G51" s="36" t="s">
        <v>59</v>
      </c>
      <c r="H51" s="32"/>
      <c r="I51" s="34">
        <v>5</v>
      </c>
    </row>
    <row r="52" spans="2:9" ht="15.75" customHeight="1" x14ac:dyDescent="0.25">
      <c r="B52" s="40"/>
      <c r="C52" s="40"/>
      <c r="D52" s="40"/>
      <c r="E52" s="40"/>
      <c r="F52" s="40"/>
      <c r="G52" s="40"/>
      <c r="H52" s="40"/>
      <c r="I52" s="40"/>
    </row>
    <row r="53" spans="2:9" s="10" customFormat="1" ht="15.75" customHeight="1" x14ac:dyDescent="0.25">
      <c r="B53" s="23" t="s">
        <v>102</v>
      </c>
      <c r="C53" s="24" t="s">
        <v>113</v>
      </c>
      <c r="D53" s="23" t="s">
        <v>30</v>
      </c>
      <c r="E53" s="26" t="s">
        <v>123</v>
      </c>
      <c r="F53" s="26" t="s">
        <v>129</v>
      </c>
      <c r="G53" s="27"/>
      <c r="H53" s="23" t="s">
        <v>9</v>
      </c>
      <c r="I53" s="23" t="s">
        <v>54</v>
      </c>
    </row>
    <row r="54" spans="2:9" s="10" customFormat="1" ht="15.75" customHeight="1" x14ac:dyDescent="0.25">
      <c r="B54" s="32"/>
      <c r="C54" s="32"/>
      <c r="D54" s="32"/>
      <c r="E54" s="32"/>
      <c r="F54" s="32"/>
      <c r="G54" s="32"/>
      <c r="H54" s="32"/>
      <c r="I54" s="32"/>
    </row>
    <row r="55" spans="2:9" s="10" customFormat="1" ht="15.75" customHeight="1" x14ac:dyDescent="0.25">
      <c r="B55" s="30" t="s">
        <v>142</v>
      </c>
      <c r="C55" s="40" t="s">
        <v>169</v>
      </c>
      <c r="D55" s="32"/>
      <c r="E55" s="32"/>
      <c r="F55" s="32"/>
      <c r="G55" s="36" t="s">
        <v>59</v>
      </c>
      <c r="H55" s="32"/>
      <c r="I55" s="34">
        <v>6</v>
      </c>
    </row>
    <row r="56" spans="2:9" s="10" customFormat="1" ht="15.75" customHeight="1" x14ac:dyDescent="0.25">
      <c r="B56" s="30" t="s">
        <v>143</v>
      </c>
      <c r="C56" s="40" t="s">
        <v>170</v>
      </c>
      <c r="D56" s="32"/>
      <c r="E56" s="32"/>
      <c r="F56" s="32"/>
      <c r="G56" s="36" t="s">
        <v>59</v>
      </c>
      <c r="H56" s="32"/>
      <c r="I56" s="34">
        <v>4</v>
      </c>
    </row>
    <row r="57" spans="2:9" s="10" customFormat="1" ht="15.75" customHeight="1" x14ac:dyDescent="0.25">
      <c r="B57" s="30" t="s">
        <v>144</v>
      </c>
      <c r="C57" s="40" t="s">
        <v>171</v>
      </c>
      <c r="D57" s="32"/>
      <c r="E57" s="32"/>
      <c r="F57" s="32"/>
      <c r="G57" s="36" t="s">
        <v>59</v>
      </c>
      <c r="H57" s="32"/>
      <c r="I57" s="34">
        <v>5</v>
      </c>
    </row>
    <row r="58" spans="2:9" ht="15.75" customHeight="1" x14ac:dyDescent="0.25">
      <c r="B58" s="40"/>
      <c r="C58" s="40"/>
      <c r="D58" s="40"/>
      <c r="E58" s="40"/>
      <c r="F58" s="40"/>
      <c r="G58" s="40"/>
      <c r="H58" s="40"/>
      <c r="I58" s="40"/>
    </row>
    <row r="59" spans="2:9" s="10" customFormat="1" ht="15.75" customHeight="1" x14ac:dyDescent="0.25">
      <c r="B59" s="23" t="s">
        <v>103</v>
      </c>
      <c r="C59" s="25" t="s">
        <v>109</v>
      </c>
      <c r="D59" s="25" t="s">
        <v>114</v>
      </c>
      <c r="E59" s="26" t="s">
        <v>124</v>
      </c>
      <c r="F59" s="26" t="s">
        <v>125</v>
      </c>
      <c r="G59" s="27"/>
      <c r="H59" s="23" t="s">
        <v>9</v>
      </c>
      <c r="I59" s="23" t="s">
        <v>54</v>
      </c>
    </row>
    <row r="60" spans="2:9" s="10" customFormat="1" ht="15.75" customHeight="1" x14ac:dyDescent="0.25">
      <c r="B60" s="32"/>
      <c r="C60" s="32"/>
      <c r="D60" s="32"/>
      <c r="E60" s="32"/>
      <c r="F60" s="32"/>
      <c r="G60" s="32"/>
      <c r="H60" s="32"/>
      <c r="I60" s="32"/>
    </row>
    <row r="61" spans="2:9" s="10" customFormat="1" ht="15.75" customHeight="1" x14ac:dyDescent="0.25">
      <c r="B61" s="30" t="s">
        <v>148</v>
      </c>
      <c r="C61" s="40" t="s">
        <v>145</v>
      </c>
      <c r="D61" s="32"/>
      <c r="E61" s="32"/>
      <c r="F61" s="32"/>
      <c r="G61" s="33" t="s">
        <v>43</v>
      </c>
      <c r="H61" s="32"/>
      <c r="I61" s="34">
        <v>6</v>
      </c>
    </row>
    <row r="62" spans="2:9" s="10" customFormat="1" ht="15.75" customHeight="1" x14ac:dyDescent="0.25">
      <c r="B62" s="30" t="s">
        <v>149</v>
      </c>
      <c r="C62" s="40" t="s">
        <v>146</v>
      </c>
      <c r="D62" s="32"/>
      <c r="E62" s="32"/>
      <c r="F62" s="32"/>
      <c r="G62" s="33" t="s">
        <v>43</v>
      </c>
      <c r="H62" s="32"/>
      <c r="I62" s="34">
        <v>4</v>
      </c>
    </row>
    <row r="63" spans="2:9" s="10" customFormat="1" ht="15.75" customHeight="1" x14ac:dyDescent="0.25">
      <c r="B63" s="30" t="s">
        <v>150</v>
      </c>
      <c r="C63" s="40" t="s">
        <v>147</v>
      </c>
      <c r="D63" s="32"/>
      <c r="E63" s="32"/>
      <c r="F63" s="32"/>
      <c r="G63" s="33" t="s">
        <v>43</v>
      </c>
      <c r="H63" s="32"/>
      <c r="I63" s="34">
        <v>5</v>
      </c>
    </row>
    <row r="64" spans="2:9" ht="15.75" customHeight="1" x14ac:dyDescent="0.25">
      <c r="B64" s="40"/>
      <c r="C64" s="40"/>
      <c r="D64" s="40"/>
      <c r="E64" s="40"/>
      <c r="F64" s="40"/>
      <c r="G64" s="40"/>
      <c r="H64" s="40"/>
      <c r="I64" s="40"/>
    </row>
    <row r="65" spans="2:9" s="10" customFormat="1" ht="15.75" customHeight="1" x14ac:dyDescent="0.25">
      <c r="B65" s="23" t="s">
        <v>104</v>
      </c>
      <c r="C65" s="24" t="s">
        <v>67</v>
      </c>
      <c r="D65" s="35" t="s">
        <v>30</v>
      </c>
      <c r="E65" s="39" t="s">
        <v>73</v>
      </c>
      <c r="F65" s="35" t="s">
        <v>57</v>
      </c>
      <c r="G65" s="39"/>
      <c r="H65" s="35" t="s">
        <v>9</v>
      </c>
      <c r="I65" s="23" t="s">
        <v>115</v>
      </c>
    </row>
    <row r="66" spans="2:9" s="10" customFormat="1" ht="15.75" customHeight="1" x14ac:dyDescent="0.25">
      <c r="B66" s="32"/>
      <c r="C66" s="32"/>
      <c r="D66" s="32"/>
      <c r="E66" s="32"/>
      <c r="F66" s="32"/>
      <c r="G66" s="32"/>
      <c r="H66" s="32"/>
      <c r="I66" s="32"/>
    </row>
    <row r="67" spans="2:9" s="10" customFormat="1" ht="15.75" customHeight="1" x14ac:dyDescent="0.25">
      <c r="B67" s="30" t="s">
        <v>151</v>
      </c>
      <c r="C67" s="32" t="s">
        <v>93</v>
      </c>
      <c r="D67" s="32"/>
      <c r="E67" s="32"/>
      <c r="F67" s="32"/>
      <c r="G67" s="33" t="s">
        <v>60</v>
      </c>
      <c r="H67" s="32"/>
      <c r="I67" s="34">
        <v>6</v>
      </c>
    </row>
    <row r="68" spans="2:9" s="10" customFormat="1" ht="15.75" customHeight="1" x14ac:dyDescent="0.25">
      <c r="B68" s="30" t="s">
        <v>152</v>
      </c>
      <c r="C68" s="32" t="s">
        <v>95</v>
      </c>
      <c r="D68" s="32"/>
      <c r="E68" s="32"/>
      <c r="F68" s="32"/>
      <c r="G68" s="33" t="s">
        <v>60</v>
      </c>
      <c r="H68" s="32"/>
      <c r="I68" s="34">
        <v>4</v>
      </c>
    </row>
    <row r="69" spans="2:9" s="10" customFormat="1" ht="15.75" customHeight="1" x14ac:dyDescent="0.25">
      <c r="B69" s="30" t="s">
        <v>153</v>
      </c>
      <c r="C69" s="32" t="s">
        <v>94</v>
      </c>
      <c r="D69" s="32"/>
      <c r="E69" s="32"/>
      <c r="F69" s="32"/>
      <c r="G69" s="33" t="s">
        <v>60</v>
      </c>
      <c r="H69" s="32"/>
      <c r="I69" s="34">
        <v>5</v>
      </c>
    </row>
    <row r="70" spans="2:9" ht="15.75" customHeight="1" x14ac:dyDescent="0.25">
      <c r="B70" s="40"/>
      <c r="C70" s="40"/>
      <c r="D70" s="40"/>
      <c r="E70" s="40"/>
      <c r="F70" s="40"/>
      <c r="G70" s="40"/>
      <c r="H70" s="40"/>
      <c r="I70" s="40"/>
    </row>
    <row r="71" spans="2:9" s="10" customFormat="1" ht="15.75" customHeight="1" x14ac:dyDescent="0.25">
      <c r="B71" s="23" t="s">
        <v>105</v>
      </c>
      <c r="C71" s="24" t="s">
        <v>108</v>
      </c>
      <c r="D71" s="25" t="s">
        <v>114</v>
      </c>
      <c r="E71" s="26" t="s">
        <v>118</v>
      </c>
      <c r="F71" s="26" t="s">
        <v>119</v>
      </c>
      <c r="G71" s="23"/>
      <c r="H71" s="23" t="s">
        <v>9</v>
      </c>
      <c r="I71" s="23" t="s">
        <v>54</v>
      </c>
    </row>
    <row r="72" spans="2:9" s="10" customFormat="1" ht="15.75" customHeight="1" x14ac:dyDescent="0.25">
      <c r="B72" s="32"/>
      <c r="C72" s="32"/>
      <c r="D72" s="32"/>
      <c r="E72" s="32"/>
      <c r="F72" s="32"/>
      <c r="G72" s="32"/>
      <c r="H72" s="32"/>
      <c r="I72" s="32"/>
    </row>
    <row r="73" spans="2:9" s="10" customFormat="1" ht="15.75" customHeight="1" x14ac:dyDescent="0.25">
      <c r="B73" s="30" t="s">
        <v>154</v>
      </c>
      <c r="C73" s="40" t="s">
        <v>139</v>
      </c>
      <c r="D73" s="32"/>
      <c r="E73" s="32"/>
      <c r="F73" s="32"/>
      <c r="G73" s="33" t="s">
        <v>43</v>
      </c>
      <c r="H73" s="32"/>
      <c r="I73" s="34">
        <v>6</v>
      </c>
    </row>
    <row r="74" spans="2:9" s="10" customFormat="1" ht="15.75" customHeight="1" x14ac:dyDescent="0.25">
      <c r="B74" s="30" t="s">
        <v>155</v>
      </c>
      <c r="C74" s="40" t="s">
        <v>140</v>
      </c>
      <c r="D74" s="32"/>
      <c r="E74" s="32"/>
      <c r="F74" s="32"/>
      <c r="G74" s="33" t="s">
        <v>43</v>
      </c>
      <c r="H74" s="32"/>
      <c r="I74" s="34">
        <v>4</v>
      </c>
    </row>
    <row r="75" spans="2:9" s="10" customFormat="1" ht="15.75" customHeight="1" x14ac:dyDescent="0.25">
      <c r="B75" s="30" t="s">
        <v>156</v>
      </c>
      <c r="C75" s="40" t="s">
        <v>141</v>
      </c>
      <c r="D75" s="32"/>
      <c r="E75" s="32"/>
      <c r="F75" s="32"/>
      <c r="G75" s="33" t="s">
        <v>43</v>
      </c>
      <c r="H75" s="32"/>
      <c r="I75" s="34">
        <v>5</v>
      </c>
    </row>
    <row r="76" spans="2:9" ht="15.75" customHeight="1" x14ac:dyDescent="0.25">
      <c r="B76" s="40"/>
      <c r="C76" s="40"/>
      <c r="D76" s="40"/>
      <c r="E76" s="40"/>
      <c r="F76" s="40"/>
      <c r="G76" s="40"/>
      <c r="H76" s="40"/>
      <c r="I76" s="40"/>
    </row>
    <row r="77" spans="2:9" s="10" customFormat="1" ht="15.75" customHeight="1" x14ac:dyDescent="0.25">
      <c r="B77" s="23" t="s">
        <v>106</v>
      </c>
      <c r="C77" s="24" t="s">
        <v>107</v>
      </c>
      <c r="D77" s="23" t="s">
        <v>30</v>
      </c>
      <c r="E77" s="26" t="s">
        <v>116</v>
      </c>
      <c r="F77" s="26" t="s">
        <v>117</v>
      </c>
      <c r="G77" s="27"/>
      <c r="H77" s="23" t="s">
        <v>9</v>
      </c>
      <c r="I77" s="23" t="s">
        <v>54</v>
      </c>
    </row>
    <row r="78" spans="2:9" s="10" customFormat="1" ht="15.75" customHeight="1" x14ac:dyDescent="0.25">
      <c r="B78" s="32"/>
      <c r="C78" s="32"/>
      <c r="D78" s="32"/>
      <c r="E78" s="32"/>
      <c r="F78" s="32"/>
      <c r="G78" s="32"/>
      <c r="H78" s="32"/>
      <c r="I78" s="32"/>
    </row>
    <row r="79" spans="2:9" s="10" customFormat="1" ht="15.75" customHeight="1" x14ac:dyDescent="0.25">
      <c r="B79" s="30" t="s">
        <v>157</v>
      </c>
      <c r="C79" s="40" t="s">
        <v>133</v>
      </c>
      <c r="D79" s="32"/>
      <c r="E79" s="32"/>
      <c r="F79" s="32"/>
      <c r="G79" s="33" t="s">
        <v>60</v>
      </c>
      <c r="H79" s="32"/>
      <c r="I79" s="34">
        <v>6</v>
      </c>
    </row>
    <row r="80" spans="2:9" s="10" customFormat="1" ht="15.75" customHeight="1" x14ac:dyDescent="0.25">
      <c r="B80" s="30" t="s">
        <v>158</v>
      </c>
      <c r="C80" s="40" t="s">
        <v>134</v>
      </c>
      <c r="D80" s="32"/>
      <c r="E80" s="32"/>
      <c r="F80" s="32"/>
      <c r="G80" s="33" t="s">
        <v>60</v>
      </c>
      <c r="H80" s="32"/>
      <c r="I80" s="34">
        <v>4</v>
      </c>
    </row>
    <row r="81" spans="2:9" s="10" customFormat="1" ht="15.75" customHeight="1" x14ac:dyDescent="0.25">
      <c r="B81" s="30" t="s">
        <v>159</v>
      </c>
      <c r="C81" s="40" t="s">
        <v>135</v>
      </c>
      <c r="D81" s="32"/>
      <c r="E81" s="32"/>
      <c r="F81" s="32"/>
      <c r="G81" s="33" t="s">
        <v>60</v>
      </c>
      <c r="H81" s="32"/>
      <c r="I81" s="34">
        <v>5</v>
      </c>
    </row>
    <row r="82" spans="2:9" ht="15.75" customHeight="1" x14ac:dyDescent="0.25"/>
    <row r="83" spans="2:9" ht="15.75" customHeight="1" x14ac:dyDescent="0.25"/>
    <row r="84" spans="2:9" ht="15.75" customHeight="1" x14ac:dyDescent="0.25"/>
    <row r="85" spans="2:9" ht="15.75" customHeight="1" x14ac:dyDescent="0.25"/>
    <row r="86" spans="2:9" ht="15.75" customHeight="1" x14ac:dyDescent="0.25"/>
    <row r="87" spans="2:9" ht="15.75" customHeight="1" x14ac:dyDescent="0.25"/>
    <row r="88" spans="2:9" ht="15.75" customHeight="1" x14ac:dyDescent="0.25"/>
    <row r="89" spans="2:9" ht="15.75" customHeight="1" x14ac:dyDescent="0.25"/>
    <row r="90" spans="2:9" ht="15.75" customHeight="1" x14ac:dyDescent="0.25"/>
    <row r="91" spans="2:9" ht="15.75" customHeight="1" x14ac:dyDescent="0.25"/>
    <row r="92" spans="2:9" ht="15.75" customHeight="1" x14ac:dyDescent="0.25"/>
    <row r="93" spans="2:9" ht="15.75" customHeight="1" x14ac:dyDescent="0.25"/>
    <row r="94" spans="2:9" ht="15.75" customHeight="1" x14ac:dyDescent="0.25"/>
    <row r="95" spans="2:9" ht="15.75" customHeight="1" x14ac:dyDescent="0.25"/>
    <row r="96" spans="2:9" ht="15.75" customHeight="1" x14ac:dyDescent="0.25"/>
    <row r="97" customFormat="1" ht="15.75" customHeight="1" x14ac:dyDescent="0.25"/>
    <row r="98" customFormat="1" ht="15.75" customHeight="1" x14ac:dyDescent="0.25"/>
    <row r="99" customFormat="1" ht="15.75" customHeight="1" x14ac:dyDescent="0.25"/>
    <row r="100" customFormat="1" ht="15.75" customHeight="1" x14ac:dyDescent="0.25"/>
    <row r="101" customFormat="1" ht="15.75" customHeight="1" x14ac:dyDescent="0.25"/>
    <row r="102" customFormat="1" ht="15.75" customHeight="1" x14ac:dyDescent="0.25"/>
    <row r="103" customFormat="1" ht="15.75" customHeight="1" x14ac:dyDescent="0.25"/>
    <row r="104" customFormat="1" ht="15.75" customHeight="1" x14ac:dyDescent="0.25"/>
    <row r="105" customFormat="1" ht="15.75" customHeight="1" x14ac:dyDescent="0.25"/>
    <row r="106" customFormat="1" ht="15.75" customHeight="1" x14ac:dyDescent="0.25"/>
    <row r="107" customFormat="1" ht="15.75" customHeight="1" x14ac:dyDescent="0.25"/>
    <row r="108" customFormat="1" ht="15.75" customHeight="1" x14ac:dyDescent="0.25"/>
    <row r="109" customFormat="1" ht="15.75" customHeight="1" x14ac:dyDescent="0.25"/>
    <row r="110" customFormat="1" ht="15.75" customHeight="1" x14ac:dyDescent="0.25"/>
    <row r="111" customFormat="1" ht="15.75" customHeight="1" x14ac:dyDescent="0.25"/>
    <row r="112" customFormat="1" ht="15.75" customHeight="1" x14ac:dyDescent="0.25"/>
    <row r="113" customFormat="1" ht="15.75" customHeight="1" x14ac:dyDescent="0.25"/>
    <row r="114" customFormat="1" ht="15.75" customHeight="1" x14ac:dyDescent="0.25"/>
    <row r="115" customFormat="1" ht="15.75" customHeight="1" x14ac:dyDescent="0.25"/>
    <row r="116" customFormat="1" ht="15.75" customHeight="1" x14ac:dyDescent="0.25"/>
    <row r="117" customFormat="1" ht="15.75" customHeight="1" x14ac:dyDescent="0.25"/>
    <row r="118" customFormat="1" ht="15.75" customHeight="1" x14ac:dyDescent="0.25"/>
    <row r="119" customFormat="1" ht="15.75" customHeight="1" x14ac:dyDescent="0.25"/>
    <row r="120" customFormat="1" ht="15.75" customHeight="1" x14ac:dyDescent="0.25"/>
    <row r="121" customFormat="1" ht="15.75" customHeight="1" x14ac:dyDescent="0.25"/>
    <row r="122" customFormat="1" ht="15.75" customHeight="1" x14ac:dyDescent="0.25"/>
    <row r="123" customFormat="1" ht="15.75" customHeight="1" x14ac:dyDescent="0.25"/>
    <row r="124" customFormat="1" ht="15.75" customHeight="1" x14ac:dyDescent="0.25"/>
    <row r="125" customFormat="1" ht="15.75" customHeight="1" x14ac:dyDescent="0.25"/>
    <row r="126" customFormat="1" ht="15.75" customHeight="1" x14ac:dyDescent="0.25"/>
    <row r="127" customFormat="1" ht="15.75" customHeight="1" x14ac:dyDescent="0.25"/>
    <row r="128" customFormat="1" ht="15.75" customHeight="1" x14ac:dyDescent="0.25"/>
    <row r="129" customFormat="1" ht="15.75" customHeight="1" x14ac:dyDescent="0.25"/>
    <row r="130" customFormat="1" ht="15.75" customHeight="1" x14ac:dyDescent="0.25"/>
    <row r="131" customFormat="1" ht="15.75" customHeight="1" x14ac:dyDescent="0.25"/>
    <row r="132" customFormat="1" ht="15.75" customHeight="1" x14ac:dyDescent="0.25"/>
    <row r="133" customFormat="1" ht="15.75" customHeight="1" x14ac:dyDescent="0.25"/>
    <row r="134" customFormat="1" ht="15.75" customHeight="1" x14ac:dyDescent="0.25"/>
    <row r="135" customFormat="1" ht="15.75" customHeight="1" x14ac:dyDescent="0.25"/>
    <row r="136" customFormat="1" ht="15.75" customHeight="1" x14ac:dyDescent="0.25"/>
    <row r="137" customFormat="1" ht="15.75" customHeight="1" x14ac:dyDescent="0.25"/>
    <row r="138" customFormat="1" ht="15.75" customHeight="1" x14ac:dyDescent="0.25"/>
    <row r="139" customFormat="1" ht="15.75" customHeight="1" x14ac:dyDescent="0.25"/>
    <row r="140" customFormat="1" ht="15.75" customHeight="1" x14ac:dyDescent="0.25"/>
    <row r="141" customFormat="1" ht="15.75" customHeight="1" x14ac:dyDescent="0.25"/>
    <row r="142" customFormat="1" ht="15.75" customHeight="1" x14ac:dyDescent="0.25"/>
    <row r="143" customFormat="1" ht="15.75" customHeight="1" x14ac:dyDescent="0.25"/>
    <row r="144" customFormat="1" ht="15.75" customHeight="1" x14ac:dyDescent="0.25"/>
    <row r="145" customFormat="1" ht="15.75" customHeight="1" x14ac:dyDescent="0.25"/>
    <row r="146" customFormat="1" ht="15.75" customHeight="1" x14ac:dyDescent="0.25"/>
    <row r="147" customFormat="1" ht="15.75" customHeight="1" x14ac:dyDescent="0.25"/>
    <row r="148" customFormat="1" ht="15.75" customHeight="1" x14ac:dyDescent="0.25"/>
    <row r="149" customFormat="1" ht="15.75" customHeight="1" x14ac:dyDescent="0.25"/>
    <row r="150" customFormat="1" ht="15.75" customHeight="1" x14ac:dyDescent="0.25"/>
    <row r="151" customFormat="1" ht="15.75" customHeight="1" x14ac:dyDescent="0.25"/>
    <row r="152" customFormat="1" ht="15.75" customHeight="1" x14ac:dyDescent="0.25"/>
    <row r="153" customFormat="1" ht="15.75" customHeight="1" x14ac:dyDescent="0.25"/>
    <row r="154" customFormat="1" ht="15.75" customHeight="1" x14ac:dyDescent="0.25"/>
    <row r="155" customFormat="1" ht="15.75" customHeight="1" x14ac:dyDescent="0.25"/>
    <row r="156" customFormat="1" ht="15.75" customHeight="1" x14ac:dyDescent="0.25"/>
    <row r="157" customFormat="1" ht="15.75" customHeight="1" x14ac:dyDescent="0.25"/>
    <row r="158" customFormat="1" ht="15.75" customHeight="1" x14ac:dyDescent="0.25"/>
    <row r="159" customFormat="1" ht="15.75" customHeight="1" x14ac:dyDescent="0.25"/>
    <row r="160" customFormat="1" ht="15.75" customHeight="1" x14ac:dyDescent="0.25"/>
    <row r="161" customFormat="1" ht="15.75" customHeight="1" x14ac:dyDescent="0.25"/>
    <row r="162" customFormat="1" ht="15.75" customHeight="1" x14ac:dyDescent="0.25"/>
    <row r="163" customFormat="1" ht="15.75" customHeight="1" x14ac:dyDescent="0.25"/>
    <row r="164" customFormat="1" ht="15.75" customHeight="1" x14ac:dyDescent="0.25"/>
    <row r="165" customFormat="1" ht="15.75" customHeight="1" x14ac:dyDescent="0.25"/>
    <row r="166" customFormat="1" ht="15.75" customHeight="1" x14ac:dyDescent="0.25"/>
    <row r="167" customFormat="1" ht="15.75" customHeight="1" x14ac:dyDescent="0.25"/>
    <row r="168" customFormat="1" ht="15.75" customHeight="1" x14ac:dyDescent="0.25"/>
    <row r="169" customFormat="1" ht="15.75" customHeight="1" x14ac:dyDescent="0.25"/>
    <row r="170" customFormat="1" ht="15.75" customHeight="1" x14ac:dyDescent="0.25"/>
    <row r="171" customFormat="1" ht="15.75" customHeight="1" x14ac:dyDescent="0.25"/>
    <row r="172" customFormat="1" ht="15.75" customHeight="1" x14ac:dyDescent="0.25"/>
    <row r="173" customFormat="1" ht="15.75" customHeight="1" x14ac:dyDescent="0.25"/>
    <row r="174" customFormat="1" ht="15.75" customHeight="1" x14ac:dyDescent="0.25"/>
    <row r="175" customFormat="1" ht="15.75" customHeight="1" x14ac:dyDescent="0.25"/>
    <row r="176" customFormat="1" ht="15.75" customHeight="1" x14ac:dyDescent="0.25"/>
    <row r="177" customFormat="1" ht="15.75" customHeight="1" x14ac:dyDescent="0.25"/>
    <row r="178" customFormat="1" ht="15.75" customHeight="1" x14ac:dyDescent="0.25"/>
    <row r="179" customFormat="1" ht="15.75" customHeight="1" x14ac:dyDescent="0.25"/>
    <row r="180" customFormat="1" ht="15.75" customHeight="1" x14ac:dyDescent="0.25"/>
    <row r="181" customFormat="1" ht="15.75" customHeight="1" x14ac:dyDescent="0.25"/>
    <row r="182" customFormat="1" ht="15.75" customHeight="1" x14ac:dyDescent="0.25"/>
    <row r="183" customFormat="1" ht="15.75" customHeight="1" x14ac:dyDescent="0.25"/>
    <row r="184" customFormat="1" ht="15.75" customHeight="1" x14ac:dyDescent="0.25"/>
    <row r="185" customFormat="1" ht="15.75" customHeight="1" x14ac:dyDescent="0.25"/>
    <row r="186" customFormat="1" ht="15.75" customHeight="1" x14ac:dyDescent="0.25"/>
    <row r="187" customFormat="1" ht="15.75" customHeight="1" x14ac:dyDescent="0.25"/>
    <row r="188" customFormat="1" ht="15.75" customHeight="1" x14ac:dyDescent="0.25"/>
    <row r="189" customFormat="1" ht="15.75" customHeight="1" x14ac:dyDescent="0.25"/>
    <row r="190" customFormat="1" ht="15.75" customHeight="1" x14ac:dyDescent="0.25"/>
    <row r="191" customFormat="1" ht="15.75" customHeight="1" x14ac:dyDescent="0.25"/>
    <row r="192" customFormat="1" ht="15.75" customHeight="1" x14ac:dyDescent="0.25"/>
    <row r="193" customFormat="1" ht="15.75" customHeight="1" x14ac:dyDescent="0.25"/>
    <row r="194" customFormat="1" ht="15.75" customHeight="1" x14ac:dyDescent="0.25"/>
    <row r="195" customFormat="1" ht="15.75" customHeight="1" x14ac:dyDescent="0.25"/>
    <row r="196" customFormat="1" ht="15.75" customHeight="1" x14ac:dyDescent="0.25"/>
    <row r="197" customFormat="1" ht="15.75" customHeight="1" x14ac:dyDescent="0.25"/>
    <row r="198" customFormat="1" ht="15.75" customHeight="1" x14ac:dyDescent="0.25"/>
    <row r="199" customFormat="1" ht="15.75" customHeight="1" x14ac:dyDescent="0.25"/>
    <row r="200" customFormat="1" ht="15.75" customHeight="1" x14ac:dyDescent="0.25"/>
    <row r="201" customFormat="1" ht="15.75" customHeight="1" x14ac:dyDescent="0.25"/>
    <row r="202" customFormat="1" ht="15.75" customHeight="1" x14ac:dyDescent="0.25"/>
    <row r="203" customFormat="1" ht="15.75" customHeight="1" x14ac:dyDescent="0.25"/>
    <row r="204" customFormat="1" ht="15.75" customHeight="1" x14ac:dyDescent="0.25"/>
    <row r="205" customFormat="1" ht="15.75" customHeight="1" x14ac:dyDescent="0.25"/>
    <row r="206" customFormat="1" ht="15.75" customHeight="1" x14ac:dyDescent="0.25"/>
    <row r="207" customFormat="1" ht="15.75" customHeight="1" x14ac:dyDescent="0.25"/>
    <row r="208" customFormat="1" ht="15.75" customHeight="1" x14ac:dyDescent="0.25"/>
    <row r="209" customFormat="1" ht="15.75" customHeight="1" x14ac:dyDescent="0.25"/>
    <row r="210" customFormat="1" ht="15.75" customHeight="1" x14ac:dyDescent="0.25"/>
    <row r="211" customFormat="1" ht="15.75" customHeight="1" x14ac:dyDescent="0.25"/>
    <row r="212" customFormat="1" ht="15.75" customHeight="1" x14ac:dyDescent="0.25"/>
    <row r="213" customFormat="1" ht="15.75" customHeight="1" x14ac:dyDescent="0.25"/>
    <row r="214" customFormat="1" ht="15.75" customHeight="1" x14ac:dyDescent="0.25"/>
    <row r="215" customFormat="1" ht="15.75" customHeight="1" x14ac:dyDescent="0.25"/>
    <row r="216" customFormat="1" ht="15.75" customHeight="1" x14ac:dyDescent="0.25"/>
    <row r="217" customFormat="1" ht="15.75" customHeight="1" x14ac:dyDescent="0.25"/>
    <row r="218" customFormat="1" ht="15.75" customHeight="1" x14ac:dyDescent="0.25"/>
    <row r="219" customFormat="1" ht="15.75" customHeight="1" x14ac:dyDescent="0.25"/>
    <row r="220" customFormat="1" ht="15.75" customHeight="1" x14ac:dyDescent="0.25"/>
    <row r="221" customFormat="1" ht="15.75" customHeight="1" x14ac:dyDescent="0.25"/>
    <row r="222" customFormat="1" ht="15.75" customHeight="1" x14ac:dyDescent="0.25"/>
    <row r="223" customFormat="1" ht="15.75" customHeight="1" x14ac:dyDescent="0.25"/>
    <row r="224" customFormat="1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</sheetData>
  <mergeCells count="13">
    <mergeCell ref="C27:F27"/>
    <mergeCell ref="C15:F15"/>
    <mergeCell ref="C19:F19"/>
    <mergeCell ref="C20:F20"/>
    <mergeCell ref="C21:F21"/>
    <mergeCell ref="C25:F25"/>
    <mergeCell ref="C26:F26"/>
    <mergeCell ref="C14:F14"/>
    <mergeCell ref="C6:F6"/>
    <mergeCell ref="C7:F7"/>
    <mergeCell ref="C8:F8"/>
    <mergeCell ref="C12:F12"/>
    <mergeCell ref="C13:F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984"/>
  <sheetViews>
    <sheetView topLeftCell="A228" zoomScale="70" zoomScaleNormal="70" workbookViewId="0">
      <selection activeCell="E246" sqref="E246"/>
    </sheetView>
  </sheetViews>
  <sheetFormatPr baseColWidth="10" defaultColWidth="12.5546875" defaultRowHeight="15" customHeight="1" x14ac:dyDescent="0.25"/>
  <cols>
    <col min="1" max="1" width="12.44140625" customWidth="1"/>
    <col min="2" max="2" width="24.5546875" customWidth="1"/>
    <col min="3" max="8" width="12.44140625" customWidth="1"/>
    <col min="9" max="9" width="13.6640625" customWidth="1"/>
    <col min="10" max="26" width="12.44140625" customWidth="1"/>
  </cols>
  <sheetData>
    <row r="1" spans="1:9" ht="15.75" customHeight="1" x14ac:dyDescent="0.25"/>
    <row r="2" spans="1:9" ht="15.75" customHeight="1" x14ac:dyDescent="0.25"/>
    <row r="3" spans="1:9" ht="15.75" customHeight="1" x14ac:dyDescent="0.25">
      <c r="B3" s="3"/>
      <c r="C3" s="3" t="s">
        <v>17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</row>
    <row r="4" spans="1:9" ht="15.75" customHeight="1" x14ac:dyDescent="0.25">
      <c r="B4" s="2" t="s">
        <v>18</v>
      </c>
      <c r="C4" s="5">
        <v>5</v>
      </c>
      <c r="D4" s="4">
        <v>1</v>
      </c>
      <c r="E4" s="4">
        <v>1</v>
      </c>
      <c r="F4" s="4">
        <v>1</v>
      </c>
      <c r="G4" s="4">
        <v>1</v>
      </c>
      <c r="H4" s="4">
        <v>1</v>
      </c>
      <c r="I4" s="6">
        <f>SUM(D4:H4)</f>
        <v>5</v>
      </c>
    </row>
    <row r="5" spans="1:9" ht="15.75" customHeight="1" x14ac:dyDescent="0.25">
      <c r="B5" s="2" t="s">
        <v>19</v>
      </c>
      <c r="C5" s="5">
        <v>4</v>
      </c>
      <c r="D5" s="4">
        <v>1</v>
      </c>
      <c r="E5" s="4">
        <v>1</v>
      </c>
      <c r="F5" s="4">
        <v>0</v>
      </c>
      <c r="G5" s="4">
        <v>1</v>
      </c>
      <c r="H5" s="4">
        <v>1</v>
      </c>
      <c r="I5" s="6">
        <v>4</v>
      </c>
    </row>
    <row r="6" spans="1:9" ht="15.75" customHeight="1" x14ac:dyDescent="0.25">
      <c r="A6" s="3"/>
      <c r="B6" s="2" t="s">
        <v>20</v>
      </c>
      <c r="C6" s="5">
        <v>4</v>
      </c>
      <c r="D6" s="4">
        <v>1</v>
      </c>
      <c r="E6" s="4">
        <v>2</v>
      </c>
      <c r="F6" s="4">
        <v>1</v>
      </c>
      <c r="G6" s="4">
        <v>0</v>
      </c>
      <c r="H6" s="4">
        <v>0</v>
      </c>
      <c r="I6" s="6">
        <v>4</v>
      </c>
    </row>
    <row r="7" spans="1:9" ht="15.75" customHeight="1" x14ac:dyDescent="0.25"/>
    <row r="8" spans="1:9" ht="15.75" customHeight="1" x14ac:dyDescent="0.25"/>
    <row r="9" spans="1:9" ht="15.75" customHeight="1" x14ac:dyDescent="0.25">
      <c r="C9" s="3"/>
      <c r="D9" s="3"/>
      <c r="E9" s="3"/>
      <c r="F9" s="3"/>
      <c r="G9" s="3"/>
      <c r="H9" s="3"/>
    </row>
    <row r="10" spans="1:9" ht="15.75" customHeight="1" x14ac:dyDescent="0.25"/>
    <row r="11" spans="1:9" ht="15.75" customHeight="1" x14ac:dyDescent="0.25">
      <c r="B11" s="7" t="s">
        <v>27</v>
      </c>
      <c r="C11" s="3">
        <f>SUM(C4:C6)</f>
        <v>13</v>
      </c>
      <c r="D11" s="3">
        <f>C11-SUM(D4:D6)</f>
        <v>10</v>
      </c>
      <c r="E11" s="3">
        <f>D11-SUM(E4:E6)</f>
        <v>6</v>
      </c>
      <c r="F11" s="3">
        <f>E11-SUM(F4:F6)</f>
        <v>4</v>
      </c>
      <c r="G11" s="3">
        <f>F11-SUM(G4:G6)</f>
        <v>2</v>
      </c>
      <c r="H11" s="3">
        <f>G11-SUM(H4:H6)</f>
        <v>0</v>
      </c>
    </row>
    <row r="12" spans="1:9" ht="15.75" customHeight="1" x14ac:dyDescent="0.25">
      <c r="B12" s="7" t="s">
        <v>28</v>
      </c>
      <c r="C12" s="3">
        <f>SUM(C4:C6)</f>
        <v>13</v>
      </c>
      <c r="D12" s="3">
        <f>C12-(SUM(C4:C6)/5)</f>
        <v>10.4</v>
      </c>
      <c r="E12" s="3">
        <f>D12-(SUM(C4:C6)/5)</f>
        <v>7.8000000000000007</v>
      </c>
      <c r="F12" s="3">
        <f>E12-(SUM(C4:C6)/5)</f>
        <v>5.2000000000000011</v>
      </c>
      <c r="G12" s="3">
        <f>F12-(SUM(C4:C6)/5)</f>
        <v>2.600000000000001</v>
      </c>
      <c r="H12" s="3">
        <f>G12-(SUM(C4:C6)/5)</f>
        <v>0</v>
      </c>
    </row>
    <row r="13" spans="1:9" ht="15.75" customHeight="1" x14ac:dyDescent="0.25"/>
    <row r="14" spans="1:9" ht="15.75" customHeight="1" x14ac:dyDescent="0.25"/>
    <row r="15" spans="1:9" ht="15.75" customHeight="1" x14ac:dyDescent="0.25"/>
    <row r="16" spans="1:9" ht="15.75" customHeight="1" x14ac:dyDescent="0.25">
      <c r="B16" s="43" t="s">
        <v>29</v>
      </c>
      <c r="C16" s="43"/>
      <c r="D16" s="43"/>
      <c r="E16" s="43"/>
      <c r="F16" s="43"/>
      <c r="G16" s="43"/>
    </row>
    <row r="17" spans="2:9" ht="15.75" customHeight="1" x14ac:dyDescent="0.25">
      <c r="B17" s="43"/>
      <c r="C17" s="43"/>
      <c r="D17" s="43"/>
      <c r="E17" s="43"/>
      <c r="F17" s="43"/>
      <c r="G17" s="43"/>
    </row>
    <row r="18" spans="2:9" ht="15.75" customHeight="1" x14ac:dyDescent="0.25">
      <c r="B18" s="43"/>
      <c r="C18" s="43"/>
      <c r="D18" s="43"/>
      <c r="E18" s="43"/>
      <c r="F18" s="43"/>
      <c r="G18" s="43"/>
    </row>
    <row r="19" spans="2:9" ht="15.75" customHeight="1" x14ac:dyDescent="0.25">
      <c r="B19" s="43"/>
      <c r="C19" s="43"/>
      <c r="D19" s="43"/>
      <c r="E19" s="43"/>
      <c r="F19" s="43"/>
      <c r="G19" s="43"/>
    </row>
    <row r="20" spans="2:9" ht="15.75" customHeight="1" x14ac:dyDescent="0.25">
      <c r="B20" s="43"/>
      <c r="C20" s="43"/>
      <c r="D20" s="43"/>
      <c r="E20" s="43"/>
      <c r="F20" s="43"/>
      <c r="G20" s="43"/>
    </row>
    <row r="21" spans="2:9" ht="15.75" customHeight="1" x14ac:dyDescent="0.25">
      <c r="B21" s="43"/>
      <c r="C21" s="43"/>
      <c r="D21" s="43"/>
      <c r="E21" s="43"/>
      <c r="F21" s="43"/>
      <c r="G21" s="43"/>
    </row>
    <row r="22" spans="2:9" ht="15.75" customHeight="1" x14ac:dyDescent="0.25">
      <c r="B22" s="43"/>
      <c r="C22" s="43"/>
      <c r="D22" s="43"/>
      <c r="E22" s="43"/>
      <c r="F22" s="43"/>
      <c r="G22" s="43"/>
    </row>
    <row r="23" spans="2:9" ht="15.75" customHeight="1" x14ac:dyDescent="0.25">
      <c r="B23" s="43"/>
      <c r="C23" s="43"/>
      <c r="D23" s="43"/>
      <c r="E23" s="43"/>
      <c r="F23" s="43"/>
      <c r="G23" s="43"/>
    </row>
    <row r="24" spans="2:9" ht="15.75" customHeight="1" x14ac:dyDescent="0.25"/>
    <row r="25" spans="2:9" ht="15.75" customHeight="1" x14ac:dyDescent="0.25"/>
    <row r="26" spans="2:9" ht="15.75" customHeight="1" x14ac:dyDescent="0.25"/>
    <row r="27" spans="2:9" ht="15.75" customHeight="1" x14ac:dyDescent="0.25"/>
    <row r="28" spans="2:9" ht="15.75" customHeight="1" x14ac:dyDescent="0.25"/>
    <row r="29" spans="2:9" ht="15.75" customHeight="1" x14ac:dyDescent="0.25"/>
    <row r="30" spans="2:9" ht="15.75" customHeight="1" x14ac:dyDescent="0.25"/>
    <row r="31" spans="2:9" ht="15.75" customHeight="1" x14ac:dyDescent="0.25"/>
    <row r="32" spans="2:9" ht="15.75" customHeight="1" x14ac:dyDescent="0.25">
      <c r="B32" s="3"/>
      <c r="C32" s="3" t="s">
        <v>17</v>
      </c>
      <c r="D32" s="3" t="s">
        <v>21</v>
      </c>
      <c r="E32" s="3" t="s">
        <v>22</v>
      </c>
      <c r="F32" s="3" t="s">
        <v>23</v>
      </c>
      <c r="G32" s="3" t="s">
        <v>24</v>
      </c>
      <c r="H32" s="3" t="s">
        <v>25</v>
      </c>
      <c r="I32" s="3" t="s">
        <v>26</v>
      </c>
    </row>
    <row r="33" spans="2:9" ht="15.75" customHeight="1" x14ac:dyDescent="0.25">
      <c r="B33" s="2" t="s">
        <v>34</v>
      </c>
      <c r="C33" s="5">
        <v>6</v>
      </c>
      <c r="D33" s="4">
        <v>1</v>
      </c>
      <c r="E33" s="4">
        <v>1</v>
      </c>
      <c r="F33" s="4">
        <v>1</v>
      </c>
      <c r="G33" s="4">
        <v>2</v>
      </c>
      <c r="H33" s="4">
        <v>1</v>
      </c>
      <c r="I33" s="6">
        <v>6</v>
      </c>
    </row>
    <row r="34" spans="2:9" ht="15.75" customHeight="1" x14ac:dyDescent="0.25">
      <c r="B34" s="2" t="s">
        <v>35</v>
      </c>
      <c r="C34" s="5">
        <v>4</v>
      </c>
      <c r="D34" s="4">
        <v>1</v>
      </c>
      <c r="E34" s="4">
        <v>1</v>
      </c>
      <c r="F34" s="4">
        <v>1</v>
      </c>
      <c r="G34" s="4">
        <v>1</v>
      </c>
      <c r="H34" s="4">
        <v>0</v>
      </c>
      <c r="I34" s="6">
        <f>SUM(D34:H34)</f>
        <v>4</v>
      </c>
    </row>
    <row r="35" spans="2:9" ht="15.75" customHeight="1" x14ac:dyDescent="0.25">
      <c r="B35" s="2" t="s">
        <v>36</v>
      </c>
      <c r="C35" s="5">
        <v>5</v>
      </c>
      <c r="D35" s="4">
        <v>1</v>
      </c>
      <c r="E35" s="4">
        <v>2</v>
      </c>
      <c r="F35" s="4">
        <v>1</v>
      </c>
      <c r="G35" s="4">
        <v>1</v>
      </c>
      <c r="H35" s="4">
        <v>0</v>
      </c>
      <c r="I35" s="6">
        <v>5</v>
      </c>
    </row>
    <row r="36" spans="2:9" ht="15.75" customHeight="1" x14ac:dyDescent="0.25">
      <c r="B36" s="2" t="s">
        <v>61</v>
      </c>
      <c r="C36" s="5">
        <v>5</v>
      </c>
      <c r="D36" s="4">
        <v>1</v>
      </c>
      <c r="E36" s="4">
        <v>2</v>
      </c>
      <c r="F36" s="4">
        <v>2</v>
      </c>
      <c r="G36" s="4">
        <v>0</v>
      </c>
      <c r="H36" s="4">
        <v>0</v>
      </c>
      <c r="I36" s="6">
        <f>SUM(D36:H36)</f>
        <v>5</v>
      </c>
    </row>
    <row r="37" spans="2:9" ht="15.75" customHeight="1" x14ac:dyDescent="0.25"/>
    <row r="38" spans="2:9" ht="15.75" customHeight="1" x14ac:dyDescent="0.25">
      <c r="B38" s="7" t="s">
        <v>27</v>
      </c>
      <c r="C38" s="3">
        <f>SUM(C33:C36)</f>
        <v>20</v>
      </c>
      <c r="D38" s="3">
        <f>C38-SUM(D33:D36)</f>
        <v>16</v>
      </c>
      <c r="E38" s="3">
        <f>D38-SUM(E33:E36)</f>
        <v>10</v>
      </c>
      <c r="F38" s="3">
        <f>E38-SUM(F33:F36)</f>
        <v>5</v>
      </c>
      <c r="G38" s="3">
        <f>F38-SUM(G33:G36)</f>
        <v>1</v>
      </c>
      <c r="H38" s="3">
        <f>G38-SUM(H33:H36)</f>
        <v>0</v>
      </c>
    </row>
    <row r="39" spans="2:9" ht="15.75" customHeight="1" x14ac:dyDescent="0.25">
      <c r="B39" s="7" t="s">
        <v>28</v>
      </c>
      <c r="C39" s="3">
        <f>SUM(C33:C36)</f>
        <v>20</v>
      </c>
      <c r="D39" s="3">
        <f>C39-(SUM(C33:C36)/5)</f>
        <v>16</v>
      </c>
      <c r="E39" s="3">
        <f>D39-(SUM(D33:D36)/5)</f>
        <v>15.2</v>
      </c>
      <c r="F39" s="3">
        <f>E39-(SUM(E33:E36)/5)</f>
        <v>14</v>
      </c>
      <c r="G39" s="3">
        <f>F39-(SUM(F33:F36)/5)</f>
        <v>13</v>
      </c>
      <c r="H39" s="3">
        <f>G39-(SUM(G33:G36)/5)</f>
        <v>12.2</v>
      </c>
    </row>
    <row r="40" spans="2:9" ht="15.75" customHeight="1" x14ac:dyDescent="0.25"/>
    <row r="41" spans="2:9" ht="15.75" customHeight="1" x14ac:dyDescent="0.25"/>
    <row r="42" spans="2:9" ht="15.75" customHeight="1" x14ac:dyDescent="0.25"/>
    <row r="43" spans="2:9" ht="15.75" customHeight="1" x14ac:dyDescent="0.25">
      <c r="B43" s="43" t="s">
        <v>29</v>
      </c>
      <c r="C43" s="43"/>
      <c r="D43" s="43"/>
      <c r="E43" s="43"/>
      <c r="F43" s="43"/>
      <c r="G43" s="43"/>
    </row>
    <row r="44" spans="2:9" ht="15.75" customHeight="1" x14ac:dyDescent="0.25">
      <c r="B44" s="43"/>
      <c r="C44" s="43"/>
      <c r="D44" s="43"/>
      <c r="E44" s="43"/>
      <c r="F44" s="43"/>
      <c r="G44" s="43"/>
    </row>
    <row r="45" spans="2:9" ht="15.75" customHeight="1" x14ac:dyDescent="0.25">
      <c r="B45" s="43"/>
      <c r="C45" s="43"/>
      <c r="D45" s="43"/>
      <c r="E45" s="43"/>
      <c r="F45" s="43"/>
      <c r="G45" s="43"/>
    </row>
    <row r="46" spans="2:9" ht="15.75" customHeight="1" x14ac:dyDescent="0.25">
      <c r="B46" s="43"/>
      <c r="C46" s="43"/>
      <c r="D46" s="43"/>
      <c r="E46" s="43"/>
      <c r="F46" s="43"/>
      <c r="G46" s="43"/>
    </row>
    <row r="47" spans="2:9" ht="15.75" customHeight="1" x14ac:dyDescent="0.25">
      <c r="B47" s="43"/>
      <c r="C47" s="43"/>
      <c r="D47" s="43"/>
      <c r="E47" s="43"/>
      <c r="F47" s="43"/>
      <c r="G47" s="43"/>
    </row>
    <row r="48" spans="2:9" ht="15.75" customHeight="1" x14ac:dyDescent="0.25">
      <c r="B48" s="43"/>
      <c r="C48" s="43"/>
      <c r="D48" s="43"/>
      <c r="E48" s="43"/>
      <c r="F48" s="43"/>
      <c r="G48" s="43"/>
    </row>
    <row r="49" spans="2:9" ht="15.75" customHeight="1" x14ac:dyDescent="0.25">
      <c r="B49" s="43"/>
      <c r="C49" s="43"/>
      <c r="D49" s="43"/>
      <c r="E49" s="43"/>
      <c r="F49" s="43"/>
      <c r="G49" s="43"/>
    </row>
    <row r="50" spans="2:9" ht="15.75" customHeight="1" x14ac:dyDescent="0.25">
      <c r="B50" s="43"/>
      <c r="C50" s="43"/>
      <c r="D50" s="43"/>
      <c r="E50" s="43"/>
      <c r="F50" s="43"/>
      <c r="G50" s="43"/>
    </row>
    <row r="51" spans="2:9" ht="15.75" customHeight="1" x14ac:dyDescent="0.25"/>
    <row r="52" spans="2:9" ht="15.75" customHeight="1" x14ac:dyDescent="0.25"/>
    <row r="53" spans="2:9" ht="15.75" customHeight="1" x14ac:dyDescent="0.25"/>
    <row r="54" spans="2:9" ht="15.75" customHeight="1" x14ac:dyDescent="0.25"/>
    <row r="55" spans="2:9" ht="15.75" customHeight="1" x14ac:dyDescent="0.25"/>
    <row r="56" spans="2:9" ht="15.75" customHeight="1" x14ac:dyDescent="0.25"/>
    <row r="57" spans="2:9" ht="15.75" customHeight="1" x14ac:dyDescent="0.25"/>
    <row r="58" spans="2:9" ht="15.75" customHeight="1" x14ac:dyDescent="0.25"/>
    <row r="59" spans="2:9" ht="15.75" customHeight="1" x14ac:dyDescent="0.25"/>
    <row r="60" spans="2:9" ht="15.75" customHeight="1" x14ac:dyDescent="0.25"/>
    <row r="61" spans="2:9" ht="15.75" customHeight="1" x14ac:dyDescent="0.25">
      <c r="B61" s="3"/>
      <c r="C61" s="3" t="s">
        <v>17</v>
      </c>
      <c r="D61" s="3" t="s">
        <v>21</v>
      </c>
      <c r="E61" s="3" t="s">
        <v>22</v>
      </c>
      <c r="F61" s="3" t="s">
        <v>23</v>
      </c>
      <c r="G61" s="3" t="s">
        <v>24</v>
      </c>
      <c r="H61" s="3" t="s">
        <v>25</v>
      </c>
      <c r="I61" s="3" t="s">
        <v>26</v>
      </c>
    </row>
    <row r="62" spans="2:9" ht="15.75" customHeight="1" x14ac:dyDescent="0.25">
      <c r="B62" s="2" t="s">
        <v>37</v>
      </c>
      <c r="C62" s="5">
        <v>6</v>
      </c>
      <c r="D62" s="4">
        <v>2</v>
      </c>
      <c r="E62" s="4">
        <v>2</v>
      </c>
      <c r="F62" s="4">
        <v>1</v>
      </c>
      <c r="G62" s="4">
        <v>1</v>
      </c>
      <c r="H62" s="4">
        <v>0</v>
      </c>
      <c r="I62" s="6">
        <f>SUM(D62:H62)</f>
        <v>6</v>
      </c>
    </row>
    <row r="63" spans="2:9" ht="15.75" customHeight="1" x14ac:dyDescent="0.25">
      <c r="B63" s="2" t="s">
        <v>38</v>
      </c>
      <c r="C63" s="5">
        <v>4</v>
      </c>
      <c r="D63" s="4">
        <v>1</v>
      </c>
      <c r="E63" s="4">
        <v>1</v>
      </c>
      <c r="F63" s="4">
        <v>1</v>
      </c>
      <c r="G63" s="4">
        <v>0</v>
      </c>
      <c r="H63" s="4">
        <v>1</v>
      </c>
      <c r="I63" s="6">
        <f>SUM(D63:H63)</f>
        <v>4</v>
      </c>
    </row>
    <row r="64" spans="2:9" ht="15.75" customHeight="1" x14ac:dyDescent="0.25">
      <c r="B64" s="2" t="s">
        <v>39</v>
      </c>
      <c r="C64" s="5">
        <v>5</v>
      </c>
      <c r="D64" s="4">
        <v>1</v>
      </c>
      <c r="E64" s="4">
        <v>1</v>
      </c>
      <c r="F64" s="4">
        <v>1</v>
      </c>
      <c r="G64" s="4">
        <v>1</v>
      </c>
      <c r="H64" s="4">
        <v>1</v>
      </c>
      <c r="I64" s="6">
        <f>SUM(D64:H64)</f>
        <v>5</v>
      </c>
    </row>
    <row r="65" spans="2:8" ht="15.75" customHeight="1" x14ac:dyDescent="0.25"/>
    <row r="66" spans="2:8" ht="15.75" customHeight="1" x14ac:dyDescent="0.25"/>
    <row r="67" spans="2:8" ht="15.75" customHeight="1" x14ac:dyDescent="0.25">
      <c r="B67" s="8"/>
      <c r="C67" s="3"/>
      <c r="D67" s="3"/>
      <c r="E67" s="3"/>
      <c r="F67" s="3"/>
      <c r="G67" s="3"/>
      <c r="H67" s="3"/>
    </row>
    <row r="68" spans="2:8" ht="15.75" customHeight="1" x14ac:dyDescent="0.25"/>
    <row r="69" spans="2:8" ht="15.75" customHeight="1" x14ac:dyDescent="0.25">
      <c r="B69" s="7" t="s">
        <v>27</v>
      </c>
      <c r="C69" s="3">
        <f>SUM(C62:C64)</f>
        <v>15</v>
      </c>
      <c r="D69" s="3">
        <f>C69-SUM(D62:D64)</f>
        <v>11</v>
      </c>
      <c r="E69" s="3">
        <f>D69-SUM(E62:E64)</f>
        <v>7</v>
      </c>
      <c r="F69" s="3">
        <f>E69-SUM(F62:F64)</f>
        <v>4</v>
      </c>
      <c r="G69" s="3">
        <f>F69-SUM(G62:G64)</f>
        <v>2</v>
      </c>
      <c r="H69" s="3">
        <f>G69-SUM(H62:H64)</f>
        <v>0</v>
      </c>
    </row>
    <row r="70" spans="2:8" ht="15.75" customHeight="1" x14ac:dyDescent="0.25">
      <c r="B70" s="7" t="s">
        <v>28</v>
      </c>
      <c r="C70" s="3">
        <f>SUM(C62:C64)</f>
        <v>15</v>
      </c>
      <c r="D70" s="3">
        <f>C70-(SUM(C62:C64)/5)</f>
        <v>12</v>
      </c>
      <c r="E70" s="3">
        <f>D70-(SUM(D62:D64)/5)</f>
        <v>11.2</v>
      </c>
      <c r="F70" s="3">
        <f>E70-(SUM(E62:E64)/5)</f>
        <v>10.399999999999999</v>
      </c>
      <c r="G70" s="3">
        <f>F70-(SUM(F62:F64)/5)</f>
        <v>9.7999999999999989</v>
      </c>
      <c r="H70" s="3">
        <f>G70-(SUM(G62:G64)/5)</f>
        <v>9.3999999999999986</v>
      </c>
    </row>
    <row r="71" spans="2:8" ht="15.75" customHeight="1" x14ac:dyDescent="0.25"/>
    <row r="72" spans="2:8" ht="15.75" customHeight="1" x14ac:dyDescent="0.25"/>
    <row r="73" spans="2:8" ht="15.75" customHeight="1" x14ac:dyDescent="0.25"/>
    <row r="74" spans="2:8" ht="15.75" customHeight="1" x14ac:dyDescent="0.25">
      <c r="B74" s="43" t="s">
        <v>29</v>
      </c>
      <c r="C74" s="43"/>
      <c r="D74" s="43"/>
      <c r="E74" s="43"/>
      <c r="F74" s="43"/>
      <c r="G74" s="43"/>
    </row>
    <row r="75" spans="2:8" ht="15.75" customHeight="1" x14ac:dyDescent="0.25">
      <c r="B75" s="43"/>
      <c r="C75" s="43"/>
      <c r="D75" s="43"/>
      <c r="E75" s="43"/>
      <c r="F75" s="43"/>
      <c r="G75" s="43"/>
    </row>
    <row r="76" spans="2:8" ht="15.75" customHeight="1" x14ac:dyDescent="0.25">
      <c r="B76" s="43"/>
      <c r="C76" s="43"/>
      <c r="D76" s="43"/>
      <c r="E76" s="43"/>
      <c r="F76" s="43"/>
      <c r="G76" s="43"/>
    </row>
    <row r="77" spans="2:8" ht="15.75" customHeight="1" x14ac:dyDescent="0.25">
      <c r="B77" s="43"/>
      <c r="C77" s="43"/>
      <c r="D77" s="43"/>
      <c r="E77" s="43"/>
      <c r="F77" s="43"/>
      <c r="G77" s="43"/>
    </row>
    <row r="78" spans="2:8" ht="15.75" customHeight="1" x14ac:dyDescent="0.25">
      <c r="B78" s="43"/>
      <c r="C78" s="43"/>
      <c r="D78" s="43"/>
      <c r="E78" s="43"/>
      <c r="F78" s="43"/>
      <c r="G78" s="43"/>
    </row>
    <row r="79" spans="2:8" ht="15.75" customHeight="1" x14ac:dyDescent="0.25">
      <c r="B79" s="43"/>
      <c r="C79" s="43"/>
      <c r="D79" s="43"/>
      <c r="E79" s="43"/>
      <c r="F79" s="43"/>
      <c r="G79" s="43"/>
    </row>
    <row r="80" spans="2:8" ht="15.75" customHeight="1" x14ac:dyDescent="0.25">
      <c r="B80" s="43"/>
      <c r="C80" s="43"/>
      <c r="D80" s="43"/>
      <c r="E80" s="43"/>
      <c r="F80" s="43"/>
      <c r="G80" s="43"/>
    </row>
    <row r="81" spans="2:9" ht="15.75" customHeight="1" x14ac:dyDescent="0.25">
      <c r="B81" s="43"/>
      <c r="C81" s="43"/>
      <c r="D81" s="43"/>
      <c r="E81" s="43"/>
      <c r="F81" s="43"/>
      <c r="G81" s="43"/>
    </row>
    <row r="82" spans="2:9" ht="15.75" customHeight="1" x14ac:dyDescent="0.25"/>
    <row r="83" spans="2:9" ht="15.75" customHeight="1" x14ac:dyDescent="0.25"/>
    <row r="84" spans="2:9" ht="15.75" customHeight="1" x14ac:dyDescent="0.25"/>
    <row r="85" spans="2:9" ht="15.75" customHeight="1" x14ac:dyDescent="0.25"/>
    <row r="86" spans="2:9" ht="15.75" customHeight="1" x14ac:dyDescent="0.25"/>
    <row r="87" spans="2:9" ht="15.75" customHeight="1" x14ac:dyDescent="0.25"/>
    <row r="88" spans="2:9" ht="15.75" customHeight="1" x14ac:dyDescent="0.25"/>
    <row r="89" spans="2:9" ht="15.75" customHeight="1" x14ac:dyDescent="0.25"/>
    <row r="90" spans="2:9" ht="15.75" customHeight="1" x14ac:dyDescent="0.25"/>
    <row r="91" spans="2:9" ht="15.75" customHeight="1" x14ac:dyDescent="0.25"/>
    <row r="92" spans="2:9" ht="15.75" customHeight="1" x14ac:dyDescent="0.25"/>
    <row r="93" spans="2:9" ht="15.75" customHeight="1" x14ac:dyDescent="0.25">
      <c r="B93" s="3"/>
      <c r="C93" s="3" t="s">
        <v>17</v>
      </c>
      <c r="D93" s="3" t="s">
        <v>21</v>
      </c>
      <c r="E93" s="3" t="s">
        <v>22</v>
      </c>
      <c r="F93" s="3" t="s">
        <v>23</v>
      </c>
      <c r="G93" s="3" t="s">
        <v>24</v>
      </c>
      <c r="H93" s="3" t="s">
        <v>25</v>
      </c>
      <c r="I93" s="3" t="s">
        <v>26</v>
      </c>
    </row>
    <row r="94" spans="2:9" ht="15.75" customHeight="1" x14ac:dyDescent="0.25">
      <c r="B94" s="2" t="s">
        <v>40</v>
      </c>
      <c r="C94" s="5">
        <v>5</v>
      </c>
      <c r="D94" s="4">
        <v>1</v>
      </c>
      <c r="E94" s="4">
        <v>1</v>
      </c>
      <c r="F94" s="4">
        <v>1</v>
      </c>
      <c r="G94" s="4">
        <v>1</v>
      </c>
      <c r="H94" s="4">
        <v>1</v>
      </c>
      <c r="I94" s="6">
        <f>SUM(D94:H94)</f>
        <v>5</v>
      </c>
    </row>
    <row r="95" spans="2:9" ht="15.75" customHeight="1" x14ac:dyDescent="0.25">
      <c r="B95" s="2" t="s">
        <v>41</v>
      </c>
      <c r="C95" s="5">
        <v>4</v>
      </c>
      <c r="D95" s="4">
        <v>1</v>
      </c>
      <c r="E95" s="4">
        <v>1</v>
      </c>
      <c r="F95" s="4">
        <v>1</v>
      </c>
      <c r="G95" s="4">
        <v>1</v>
      </c>
      <c r="H95" s="4">
        <v>0</v>
      </c>
      <c r="I95" s="6">
        <f>SUM(D95:H95)</f>
        <v>4</v>
      </c>
    </row>
    <row r="96" spans="2:9" ht="15.75" customHeight="1" x14ac:dyDescent="0.25">
      <c r="B96" s="2" t="s">
        <v>42</v>
      </c>
      <c r="C96" s="5">
        <v>6</v>
      </c>
      <c r="D96" s="4">
        <v>2</v>
      </c>
      <c r="E96" s="4">
        <v>1</v>
      </c>
      <c r="F96" s="4">
        <v>1</v>
      </c>
      <c r="G96" s="4">
        <v>1</v>
      </c>
      <c r="H96" s="4">
        <v>1</v>
      </c>
      <c r="I96" s="6">
        <f>SUM(D96:H96)</f>
        <v>6</v>
      </c>
    </row>
    <row r="97" spans="2:8" ht="15.75" customHeight="1" x14ac:dyDescent="0.25"/>
    <row r="98" spans="2:8" ht="15.75" customHeight="1" x14ac:dyDescent="0.25"/>
    <row r="99" spans="2:8" ht="15.75" customHeight="1" x14ac:dyDescent="0.25">
      <c r="B99" s="8"/>
      <c r="C99" s="3"/>
      <c r="D99" s="3"/>
      <c r="E99" s="3"/>
      <c r="F99" s="3"/>
      <c r="G99" s="3"/>
      <c r="H99" s="3"/>
    </row>
    <row r="100" spans="2:8" ht="15.75" customHeight="1" x14ac:dyDescent="0.25"/>
    <row r="101" spans="2:8" ht="15.75" customHeight="1" x14ac:dyDescent="0.25">
      <c r="B101" s="7" t="s">
        <v>27</v>
      </c>
      <c r="C101" s="3">
        <f>SUM(C94:C96)</f>
        <v>15</v>
      </c>
      <c r="D101" s="3">
        <f>C101-SUM(D94:D96)</f>
        <v>11</v>
      </c>
      <c r="E101" s="3">
        <f>D101-SUM(E94:E96)</f>
        <v>8</v>
      </c>
      <c r="F101" s="3">
        <f>E101-SUM(F94:F96)</f>
        <v>5</v>
      </c>
      <c r="G101" s="3">
        <f>F101-SUM(G94:G96)</f>
        <v>2</v>
      </c>
      <c r="H101" s="3">
        <f>G101-SUM(H94:H96)</f>
        <v>0</v>
      </c>
    </row>
    <row r="102" spans="2:8" ht="15.75" customHeight="1" x14ac:dyDescent="0.25">
      <c r="B102" s="7" t="s">
        <v>28</v>
      </c>
      <c r="C102" s="3">
        <f>SUM(C94:C96)</f>
        <v>15</v>
      </c>
      <c r="D102" s="3">
        <f>C102-(SUM(C94:C96)/5)</f>
        <v>12</v>
      </c>
      <c r="E102" s="3">
        <f>D102-(SUM(D94:D96)/5)</f>
        <v>11.2</v>
      </c>
      <c r="F102" s="3">
        <f>E102-(SUM(E94:E96)/5)</f>
        <v>10.6</v>
      </c>
      <c r="G102" s="3">
        <f>F102-(SUM(F94:F96)/5)</f>
        <v>10</v>
      </c>
      <c r="H102" s="3">
        <f>G102-(SUM(G94:G96)/5)</f>
        <v>9.4</v>
      </c>
    </row>
    <row r="103" spans="2:8" ht="15.75" customHeight="1" x14ac:dyDescent="0.25"/>
    <row r="104" spans="2:8" ht="15.75" customHeight="1" x14ac:dyDescent="0.25"/>
    <row r="105" spans="2:8" ht="15.75" customHeight="1" x14ac:dyDescent="0.25"/>
    <row r="106" spans="2:8" ht="15.75" customHeight="1" x14ac:dyDescent="0.25">
      <c r="B106" s="43" t="s">
        <v>29</v>
      </c>
      <c r="C106" s="43"/>
      <c r="D106" s="43"/>
      <c r="E106" s="43"/>
      <c r="F106" s="43"/>
      <c r="G106" s="43"/>
    </row>
    <row r="107" spans="2:8" ht="15.75" customHeight="1" x14ac:dyDescent="0.25">
      <c r="B107" s="43"/>
      <c r="C107" s="43"/>
      <c r="D107" s="43"/>
      <c r="E107" s="43"/>
      <c r="F107" s="43"/>
      <c r="G107" s="43"/>
    </row>
    <row r="108" spans="2:8" ht="15.75" customHeight="1" x14ac:dyDescent="0.25">
      <c r="B108" s="43"/>
      <c r="C108" s="43"/>
      <c r="D108" s="43"/>
      <c r="E108" s="43"/>
      <c r="F108" s="43"/>
      <c r="G108" s="43"/>
    </row>
    <row r="109" spans="2:8" ht="15.75" customHeight="1" x14ac:dyDescent="0.25">
      <c r="B109" s="43"/>
      <c r="C109" s="43"/>
      <c r="D109" s="43"/>
      <c r="E109" s="43"/>
      <c r="F109" s="43"/>
      <c r="G109" s="43"/>
    </row>
    <row r="110" spans="2:8" ht="15.75" customHeight="1" x14ac:dyDescent="0.25">
      <c r="B110" s="43"/>
      <c r="C110" s="43"/>
      <c r="D110" s="43"/>
      <c r="E110" s="43"/>
      <c r="F110" s="43"/>
      <c r="G110" s="43"/>
    </row>
    <row r="111" spans="2:8" ht="15.75" customHeight="1" x14ac:dyDescent="0.25">
      <c r="B111" s="43"/>
      <c r="C111" s="43"/>
      <c r="D111" s="43"/>
      <c r="E111" s="43"/>
      <c r="F111" s="43"/>
      <c r="G111" s="43"/>
    </row>
    <row r="112" spans="2:8" ht="15.75" customHeight="1" x14ac:dyDescent="0.25">
      <c r="B112" s="43"/>
      <c r="C112" s="43"/>
      <c r="D112" s="43"/>
      <c r="E112" s="43"/>
      <c r="F112" s="43"/>
      <c r="G112" s="43"/>
    </row>
    <row r="113" spans="2:9" ht="15.75" customHeight="1" x14ac:dyDescent="0.25">
      <c r="B113" s="43"/>
      <c r="C113" s="43"/>
      <c r="D113" s="43"/>
      <c r="E113" s="43"/>
      <c r="F113" s="43"/>
      <c r="G113" s="43"/>
    </row>
    <row r="114" spans="2:9" ht="15.75" customHeight="1" x14ac:dyDescent="0.25"/>
    <row r="115" spans="2:9" ht="15.75" customHeight="1" x14ac:dyDescent="0.25"/>
    <row r="116" spans="2:9" ht="15.75" customHeight="1" x14ac:dyDescent="0.25"/>
    <row r="117" spans="2:9" ht="15.75" customHeight="1" x14ac:dyDescent="0.25">
      <c r="B117" s="3"/>
      <c r="C117" s="3" t="s">
        <v>17</v>
      </c>
      <c r="D117" s="3" t="s">
        <v>21</v>
      </c>
      <c r="E117" s="3" t="s">
        <v>22</v>
      </c>
      <c r="F117" s="3" t="s">
        <v>23</v>
      </c>
      <c r="G117" s="3" t="s">
        <v>24</v>
      </c>
      <c r="H117" s="3" t="s">
        <v>25</v>
      </c>
      <c r="I117" s="3" t="s">
        <v>26</v>
      </c>
    </row>
    <row r="118" spans="2:9" ht="15.75" customHeight="1" x14ac:dyDescent="0.25">
      <c r="B118" s="2" t="s">
        <v>83</v>
      </c>
      <c r="C118" s="5">
        <v>5</v>
      </c>
      <c r="D118" s="4">
        <v>1</v>
      </c>
      <c r="E118" s="4">
        <v>1</v>
      </c>
      <c r="F118" s="4">
        <v>1</v>
      </c>
      <c r="G118" s="4">
        <v>1</v>
      </c>
      <c r="H118" s="4">
        <v>1</v>
      </c>
      <c r="I118" s="6">
        <f>SUM(D118:H118)</f>
        <v>5</v>
      </c>
    </row>
    <row r="119" spans="2:9" ht="15.75" customHeight="1" x14ac:dyDescent="0.25">
      <c r="B119" s="2" t="s">
        <v>84</v>
      </c>
      <c r="C119" s="5">
        <v>4</v>
      </c>
      <c r="D119" s="4">
        <v>1</v>
      </c>
      <c r="E119" s="4">
        <v>1</v>
      </c>
      <c r="F119" s="4">
        <v>1</v>
      </c>
      <c r="G119" s="4">
        <v>1</v>
      </c>
      <c r="H119" s="4">
        <v>0</v>
      </c>
      <c r="I119" s="6">
        <f>SUM(D119:H119)</f>
        <v>4</v>
      </c>
    </row>
    <row r="120" spans="2:9" ht="15.75" customHeight="1" x14ac:dyDescent="0.25">
      <c r="B120" s="2" t="s">
        <v>85</v>
      </c>
      <c r="C120" s="5">
        <v>6</v>
      </c>
      <c r="D120" s="4">
        <v>2</v>
      </c>
      <c r="E120" s="4">
        <v>1</v>
      </c>
      <c r="F120" s="4">
        <v>1</v>
      </c>
      <c r="G120" s="4">
        <v>1</v>
      </c>
      <c r="H120" s="4">
        <v>1</v>
      </c>
      <c r="I120" s="6">
        <f>SUM(D120:H120)</f>
        <v>6</v>
      </c>
    </row>
    <row r="121" spans="2:9" ht="15.75" customHeight="1" x14ac:dyDescent="0.25"/>
    <row r="122" spans="2:9" ht="15.75" customHeight="1" x14ac:dyDescent="0.25"/>
    <row r="123" spans="2:9" ht="15.75" customHeight="1" x14ac:dyDescent="0.25">
      <c r="B123" s="8"/>
      <c r="C123" s="3"/>
      <c r="D123" s="3"/>
      <c r="E123" s="3"/>
      <c r="F123" s="3"/>
      <c r="G123" s="3"/>
      <c r="H123" s="3"/>
    </row>
    <row r="124" spans="2:9" ht="15.75" customHeight="1" x14ac:dyDescent="0.25"/>
    <row r="125" spans="2:9" ht="15.75" customHeight="1" x14ac:dyDescent="0.25">
      <c r="B125" s="7" t="s">
        <v>27</v>
      </c>
      <c r="C125" s="3">
        <f>SUM(C118:C120)</f>
        <v>15</v>
      </c>
      <c r="D125" s="3">
        <f>C125-SUM(D118:D120)</f>
        <v>11</v>
      </c>
      <c r="E125" s="3">
        <f>D125-SUM(E118:E120)</f>
        <v>8</v>
      </c>
      <c r="F125" s="3">
        <f>E125-SUM(F118:F120)</f>
        <v>5</v>
      </c>
      <c r="G125" s="3">
        <f>F125-SUM(G118:G120)</f>
        <v>2</v>
      </c>
      <c r="H125" s="3">
        <f>G125-SUM(H118:H120)</f>
        <v>0</v>
      </c>
    </row>
    <row r="126" spans="2:9" ht="15.75" customHeight="1" x14ac:dyDescent="0.25">
      <c r="B126" s="7" t="s">
        <v>28</v>
      </c>
      <c r="C126" s="3">
        <f>SUM(C118:C120)</f>
        <v>15</v>
      </c>
      <c r="D126" s="3">
        <f>C126-(SUM(C118:C120)/5)</f>
        <v>12</v>
      </c>
      <c r="E126" s="3">
        <f>D126-(SUM(D118:D120)/5)</f>
        <v>11.2</v>
      </c>
      <c r="F126" s="3">
        <f>E126-(SUM(E118:E120)/5)</f>
        <v>10.6</v>
      </c>
      <c r="G126" s="3">
        <f>F126-(SUM(F118:F120)/5)</f>
        <v>10</v>
      </c>
      <c r="H126" s="3">
        <f>G126-(SUM(G118:G120)/5)</f>
        <v>9.4</v>
      </c>
    </row>
    <row r="127" spans="2:9" ht="15.75" customHeight="1" x14ac:dyDescent="0.25"/>
    <row r="128" spans="2:9" ht="15.75" customHeight="1" x14ac:dyDescent="0.25"/>
    <row r="129" spans="2:9" ht="15.75" customHeight="1" x14ac:dyDescent="0.25"/>
    <row r="130" spans="2:9" ht="15.75" customHeight="1" x14ac:dyDescent="0.25">
      <c r="B130" s="43" t="s">
        <v>29</v>
      </c>
      <c r="C130" s="43"/>
      <c r="D130" s="43"/>
      <c r="E130" s="43"/>
      <c r="F130" s="43"/>
      <c r="G130" s="43"/>
    </row>
    <row r="131" spans="2:9" ht="15.75" customHeight="1" x14ac:dyDescent="0.25">
      <c r="B131" s="43"/>
      <c r="C131" s="43"/>
      <c r="D131" s="43"/>
      <c r="E131" s="43"/>
      <c r="F131" s="43"/>
      <c r="G131" s="43"/>
    </row>
    <row r="132" spans="2:9" ht="15.75" customHeight="1" x14ac:dyDescent="0.25">
      <c r="B132" s="43"/>
      <c r="C132" s="43"/>
      <c r="D132" s="43"/>
      <c r="E132" s="43"/>
      <c r="F132" s="43"/>
      <c r="G132" s="43"/>
    </row>
    <row r="133" spans="2:9" ht="15.75" customHeight="1" x14ac:dyDescent="0.25">
      <c r="B133" s="43"/>
      <c r="C133" s="43"/>
      <c r="D133" s="43"/>
      <c r="E133" s="43"/>
      <c r="F133" s="43"/>
      <c r="G133" s="43"/>
    </row>
    <row r="134" spans="2:9" ht="15.75" customHeight="1" x14ac:dyDescent="0.25">
      <c r="B134" s="43"/>
      <c r="C134" s="43"/>
      <c r="D134" s="43"/>
      <c r="E134" s="43"/>
      <c r="F134" s="43"/>
      <c r="G134" s="43"/>
    </row>
    <row r="135" spans="2:9" ht="15.75" customHeight="1" x14ac:dyDescent="0.25">
      <c r="B135" s="43"/>
      <c r="C135" s="43"/>
      <c r="D135" s="43"/>
      <c r="E135" s="43"/>
      <c r="F135" s="43"/>
      <c r="G135" s="43"/>
    </row>
    <row r="136" spans="2:9" ht="15.75" customHeight="1" x14ac:dyDescent="0.25">
      <c r="B136" s="43"/>
      <c r="C136" s="43"/>
      <c r="D136" s="43"/>
      <c r="E136" s="43"/>
      <c r="F136" s="43"/>
      <c r="G136" s="43"/>
    </row>
    <row r="137" spans="2:9" ht="15.75" customHeight="1" x14ac:dyDescent="0.25">
      <c r="B137" s="43"/>
      <c r="C137" s="43"/>
      <c r="D137" s="43"/>
      <c r="E137" s="43"/>
      <c r="F137" s="43"/>
      <c r="G137" s="43"/>
    </row>
    <row r="138" spans="2:9" ht="15.75" customHeight="1" x14ac:dyDescent="0.25"/>
    <row r="139" spans="2:9" ht="15.75" customHeight="1" x14ac:dyDescent="0.25"/>
    <row r="140" spans="2:9" ht="15.75" customHeight="1" x14ac:dyDescent="0.25"/>
    <row r="141" spans="2:9" ht="15.75" customHeight="1" x14ac:dyDescent="0.25">
      <c r="B141" s="3"/>
      <c r="C141" s="3" t="s">
        <v>17</v>
      </c>
      <c r="D141" s="3" t="s">
        <v>21</v>
      </c>
      <c r="E141" s="3" t="s">
        <v>22</v>
      </c>
      <c r="F141" s="3" t="s">
        <v>23</v>
      </c>
      <c r="G141" s="3" t="s">
        <v>24</v>
      </c>
      <c r="H141" s="3" t="s">
        <v>25</v>
      </c>
      <c r="I141" s="3" t="s">
        <v>26</v>
      </c>
    </row>
    <row r="142" spans="2:9" ht="15.75" customHeight="1" x14ac:dyDescent="0.25">
      <c r="B142" s="2" t="s">
        <v>90</v>
      </c>
      <c r="C142" s="5">
        <v>5</v>
      </c>
      <c r="D142" s="4">
        <v>1</v>
      </c>
      <c r="E142" s="4">
        <v>1</v>
      </c>
      <c r="F142" s="4">
        <v>1</v>
      </c>
      <c r="G142" s="4">
        <v>1</v>
      </c>
      <c r="H142" s="4">
        <v>1</v>
      </c>
      <c r="I142" s="6">
        <f>SUM(D142:H142)</f>
        <v>5</v>
      </c>
    </row>
    <row r="143" spans="2:9" ht="15.75" customHeight="1" x14ac:dyDescent="0.25">
      <c r="B143" s="2" t="s">
        <v>91</v>
      </c>
      <c r="C143" s="5">
        <v>4</v>
      </c>
      <c r="D143" s="4">
        <v>1</v>
      </c>
      <c r="E143" s="4">
        <v>1</v>
      </c>
      <c r="F143" s="4">
        <v>1</v>
      </c>
      <c r="G143" s="4">
        <v>1</v>
      </c>
      <c r="H143" s="4">
        <v>0</v>
      </c>
      <c r="I143" s="6">
        <f>SUM(D143:H143)</f>
        <v>4</v>
      </c>
    </row>
    <row r="144" spans="2:9" ht="15.75" customHeight="1" x14ac:dyDescent="0.25">
      <c r="B144" s="2" t="s">
        <v>92</v>
      </c>
      <c r="C144" s="5">
        <v>6</v>
      </c>
      <c r="D144" s="4">
        <v>2</v>
      </c>
      <c r="E144" s="4">
        <v>1</v>
      </c>
      <c r="F144" s="4">
        <v>1</v>
      </c>
      <c r="G144" s="4">
        <v>1</v>
      </c>
      <c r="H144" s="4">
        <v>1</v>
      </c>
      <c r="I144" s="6">
        <f>SUM(D144:H144)</f>
        <v>6</v>
      </c>
    </row>
    <row r="145" spans="2:8" ht="15.75" customHeight="1" x14ac:dyDescent="0.25"/>
    <row r="146" spans="2:8" ht="15.75" customHeight="1" x14ac:dyDescent="0.25"/>
    <row r="147" spans="2:8" ht="15.75" customHeight="1" x14ac:dyDescent="0.25">
      <c r="B147" s="8"/>
      <c r="C147" s="3"/>
      <c r="D147" s="3"/>
      <c r="E147" s="3"/>
      <c r="F147" s="3"/>
      <c r="G147" s="3"/>
      <c r="H147" s="3"/>
    </row>
    <row r="148" spans="2:8" ht="15.75" customHeight="1" x14ac:dyDescent="0.25"/>
    <row r="149" spans="2:8" ht="15.75" customHeight="1" x14ac:dyDescent="0.25">
      <c r="B149" s="7" t="s">
        <v>27</v>
      </c>
      <c r="C149" s="3">
        <f>SUM(C142:C144)</f>
        <v>15</v>
      </c>
      <c r="D149" s="3">
        <f>C149-SUM(D142:D144)</f>
        <v>11</v>
      </c>
      <c r="E149" s="3">
        <f>D149-SUM(E142:E144)</f>
        <v>8</v>
      </c>
      <c r="F149" s="3">
        <f>E149-SUM(F142:F144)</f>
        <v>5</v>
      </c>
      <c r="G149" s="3">
        <f>F149-SUM(G142:G144)</f>
        <v>2</v>
      </c>
      <c r="H149" s="3">
        <f>G149-SUM(H142:H144)</f>
        <v>0</v>
      </c>
    </row>
    <row r="150" spans="2:8" ht="15.75" customHeight="1" x14ac:dyDescent="0.25">
      <c r="B150" s="7" t="s">
        <v>28</v>
      </c>
      <c r="C150" s="3">
        <f>SUM(C142:C144)</f>
        <v>15</v>
      </c>
      <c r="D150" s="3">
        <f>C150-(SUM(C142:C144)/5)</f>
        <v>12</v>
      </c>
      <c r="E150" s="3">
        <f>D150-(SUM(D142:D144)/5)</f>
        <v>11.2</v>
      </c>
      <c r="F150" s="3">
        <f>E150-(SUM(E142:E144)/5)</f>
        <v>10.6</v>
      </c>
      <c r="G150" s="3">
        <f>F150-(SUM(F142:F144)/5)</f>
        <v>10</v>
      </c>
      <c r="H150" s="3">
        <f>G150-(SUM(G142:G144)/5)</f>
        <v>9.4</v>
      </c>
    </row>
    <row r="151" spans="2:8" ht="15.75" customHeight="1" x14ac:dyDescent="0.25"/>
    <row r="152" spans="2:8" ht="15.75" customHeight="1" x14ac:dyDescent="0.25"/>
    <row r="153" spans="2:8" ht="15.75" customHeight="1" x14ac:dyDescent="0.25"/>
    <row r="154" spans="2:8" ht="15.75" customHeight="1" x14ac:dyDescent="0.25">
      <c r="B154" s="43" t="s">
        <v>29</v>
      </c>
      <c r="C154" s="43"/>
      <c r="D154" s="43"/>
      <c r="E154" s="43"/>
      <c r="F154" s="43"/>
      <c r="G154" s="43"/>
    </row>
    <row r="155" spans="2:8" ht="15.75" customHeight="1" x14ac:dyDescent="0.25">
      <c r="B155" s="43"/>
      <c r="C155" s="43"/>
      <c r="D155" s="43"/>
      <c r="E155" s="43"/>
      <c r="F155" s="43"/>
      <c r="G155" s="43"/>
    </row>
    <row r="156" spans="2:8" ht="15.75" customHeight="1" x14ac:dyDescent="0.25">
      <c r="B156" s="43"/>
      <c r="C156" s="43"/>
      <c r="D156" s="43"/>
      <c r="E156" s="43"/>
      <c r="F156" s="43"/>
      <c r="G156" s="43"/>
    </row>
    <row r="157" spans="2:8" ht="15.75" customHeight="1" x14ac:dyDescent="0.25">
      <c r="B157" s="43"/>
      <c r="C157" s="43"/>
      <c r="D157" s="43"/>
      <c r="E157" s="43"/>
      <c r="F157" s="43"/>
      <c r="G157" s="43"/>
    </row>
    <row r="158" spans="2:8" ht="15.75" customHeight="1" x14ac:dyDescent="0.25">
      <c r="B158" s="43"/>
      <c r="C158" s="43"/>
      <c r="D158" s="43"/>
      <c r="E158" s="43"/>
      <c r="F158" s="43"/>
      <c r="G158" s="43"/>
    </row>
    <row r="159" spans="2:8" ht="15.75" customHeight="1" x14ac:dyDescent="0.25">
      <c r="B159" s="43"/>
      <c r="C159" s="43"/>
      <c r="D159" s="43"/>
      <c r="E159" s="43"/>
      <c r="F159" s="43"/>
      <c r="G159" s="43"/>
    </row>
    <row r="160" spans="2:8" ht="15.75" customHeight="1" x14ac:dyDescent="0.25">
      <c r="B160" s="43"/>
      <c r="C160" s="43"/>
      <c r="D160" s="43"/>
      <c r="E160" s="43"/>
      <c r="F160" s="43"/>
      <c r="G160" s="43"/>
    </row>
    <row r="161" spans="2:9" ht="15.75" customHeight="1" x14ac:dyDescent="0.25">
      <c r="B161" s="43"/>
      <c r="C161" s="43"/>
      <c r="D161" s="43"/>
      <c r="E161" s="43"/>
      <c r="F161" s="43"/>
      <c r="G161" s="43"/>
    </row>
    <row r="162" spans="2:9" ht="15.75" customHeight="1" x14ac:dyDescent="0.25"/>
    <row r="163" spans="2:9" ht="15.75" customHeight="1" x14ac:dyDescent="0.25"/>
    <row r="164" spans="2:9" ht="15.75" customHeight="1" x14ac:dyDescent="0.25"/>
    <row r="165" spans="2:9" ht="15.75" customHeight="1" x14ac:dyDescent="0.25">
      <c r="B165" s="3"/>
      <c r="C165" s="3" t="s">
        <v>17</v>
      </c>
      <c r="D165" s="3" t="s">
        <v>21</v>
      </c>
      <c r="E165" s="3" t="s">
        <v>22</v>
      </c>
      <c r="F165" s="3" t="s">
        <v>23</v>
      </c>
      <c r="G165" s="3" t="s">
        <v>24</v>
      </c>
      <c r="H165" s="3" t="s">
        <v>25</v>
      </c>
      <c r="I165" s="3" t="s">
        <v>26</v>
      </c>
    </row>
    <row r="166" spans="2:9" ht="15.75" customHeight="1" x14ac:dyDescent="0.25">
      <c r="B166" s="2" t="s">
        <v>130</v>
      </c>
      <c r="C166" s="5">
        <v>6</v>
      </c>
      <c r="D166" s="4">
        <v>1</v>
      </c>
      <c r="E166" s="4">
        <v>1</v>
      </c>
      <c r="F166" s="4">
        <v>1</v>
      </c>
      <c r="G166" s="4">
        <v>1</v>
      </c>
      <c r="H166" s="4">
        <v>2</v>
      </c>
      <c r="I166" s="6">
        <f>SUM(D166:H166)</f>
        <v>6</v>
      </c>
    </row>
    <row r="167" spans="2:9" ht="15.75" customHeight="1" x14ac:dyDescent="0.25">
      <c r="B167" s="2" t="s">
        <v>131</v>
      </c>
      <c r="C167" s="5">
        <v>4</v>
      </c>
      <c r="D167" s="4">
        <v>1</v>
      </c>
      <c r="E167" s="4">
        <v>1</v>
      </c>
      <c r="F167" s="4">
        <v>1</v>
      </c>
      <c r="G167" s="4">
        <v>1</v>
      </c>
      <c r="H167" s="4">
        <v>0</v>
      </c>
      <c r="I167" s="6">
        <f>SUM(D167:H167)</f>
        <v>4</v>
      </c>
    </row>
    <row r="168" spans="2:9" ht="15.75" customHeight="1" x14ac:dyDescent="0.25">
      <c r="B168" s="2" t="s">
        <v>132</v>
      </c>
      <c r="C168" s="5">
        <v>5</v>
      </c>
      <c r="D168" s="4">
        <v>2</v>
      </c>
      <c r="E168" s="4">
        <v>1</v>
      </c>
      <c r="F168" s="4">
        <v>1</v>
      </c>
      <c r="G168" s="4">
        <v>1</v>
      </c>
      <c r="H168" s="4">
        <v>0</v>
      </c>
      <c r="I168" s="6">
        <f>SUM(D168:H168)</f>
        <v>5</v>
      </c>
    </row>
    <row r="169" spans="2:9" ht="15.75" customHeight="1" x14ac:dyDescent="0.25"/>
    <row r="170" spans="2:9" ht="15.75" customHeight="1" x14ac:dyDescent="0.25"/>
    <row r="171" spans="2:9" ht="15.75" customHeight="1" x14ac:dyDescent="0.25">
      <c r="B171" s="8"/>
      <c r="C171" s="3"/>
      <c r="D171" s="3"/>
      <c r="E171" s="3"/>
      <c r="F171" s="3"/>
      <c r="G171" s="3"/>
      <c r="H171" s="3"/>
    </row>
    <row r="172" spans="2:9" ht="15.75" customHeight="1" x14ac:dyDescent="0.25"/>
    <row r="173" spans="2:9" ht="15.75" customHeight="1" x14ac:dyDescent="0.25">
      <c r="B173" s="7" t="s">
        <v>27</v>
      </c>
      <c r="C173" s="3">
        <f>SUM(C166:C168)</f>
        <v>15</v>
      </c>
      <c r="D173" s="3">
        <f>C173-SUM(D166:D168)</f>
        <v>11</v>
      </c>
      <c r="E173" s="3">
        <f>D173-SUM(E166:E168)</f>
        <v>8</v>
      </c>
      <c r="F173" s="3">
        <f>E173-SUM(F166:F168)</f>
        <v>5</v>
      </c>
      <c r="G173" s="3">
        <f>F173-SUM(G166:G168)</f>
        <v>2</v>
      </c>
      <c r="H173" s="3">
        <f>G173-SUM(H166:H168)</f>
        <v>0</v>
      </c>
    </row>
    <row r="174" spans="2:9" ht="15.75" customHeight="1" x14ac:dyDescent="0.25">
      <c r="B174" s="7" t="s">
        <v>28</v>
      </c>
      <c r="C174" s="3">
        <f>SUM(C166:C168)</f>
        <v>15</v>
      </c>
      <c r="D174" s="3">
        <f>C174-(SUM(C166:C168)/5)</f>
        <v>12</v>
      </c>
      <c r="E174" s="3">
        <f>D174-(SUM(D166:D168)/5)</f>
        <v>11.2</v>
      </c>
      <c r="F174" s="3">
        <f>E174-(SUM(E166:E168)/5)</f>
        <v>10.6</v>
      </c>
      <c r="G174" s="3">
        <f>F174-(SUM(F166:F168)/5)</f>
        <v>10</v>
      </c>
      <c r="H174" s="3">
        <f>G174-(SUM(G166:G168)/5)</f>
        <v>9.4</v>
      </c>
    </row>
    <row r="175" spans="2:9" ht="15.75" customHeight="1" x14ac:dyDescent="0.25"/>
    <row r="176" spans="2:9" ht="15.75" customHeight="1" x14ac:dyDescent="0.25"/>
    <row r="177" spans="2:7" ht="15.75" customHeight="1" x14ac:dyDescent="0.25"/>
    <row r="178" spans="2:7" ht="15.75" customHeight="1" x14ac:dyDescent="0.25">
      <c r="B178" s="43" t="s">
        <v>29</v>
      </c>
      <c r="C178" s="43"/>
      <c r="D178" s="43"/>
      <c r="E178" s="43"/>
      <c r="F178" s="43"/>
      <c r="G178" s="43"/>
    </row>
    <row r="179" spans="2:7" ht="15.75" customHeight="1" x14ac:dyDescent="0.25">
      <c r="B179" s="43"/>
      <c r="C179" s="43"/>
      <c r="D179" s="43"/>
      <c r="E179" s="43"/>
      <c r="F179" s="43"/>
      <c r="G179" s="43"/>
    </row>
    <row r="180" spans="2:7" ht="15.75" customHeight="1" x14ac:dyDescent="0.25">
      <c r="B180" s="43"/>
      <c r="C180" s="43"/>
      <c r="D180" s="43"/>
      <c r="E180" s="43"/>
      <c r="F180" s="43"/>
      <c r="G180" s="43"/>
    </row>
    <row r="181" spans="2:7" ht="15.75" customHeight="1" x14ac:dyDescent="0.25">
      <c r="B181" s="43"/>
      <c r="C181" s="43"/>
      <c r="D181" s="43"/>
      <c r="E181" s="43"/>
      <c r="F181" s="43"/>
      <c r="G181" s="43"/>
    </row>
    <row r="182" spans="2:7" ht="15.75" customHeight="1" x14ac:dyDescent="0.25">
      <c r="B182" s="43"/>
      <c r="C182" s="43"/>
      <c r="D182" s="43"/>
      <c r="E182" s="43"/>
      <c r="F182" s="43"/>
      <c r="G182" s="43"/>
    </row>
    <row r="183" spans="2:7" ht="15.75" customHeight="1" x14ac:dyDescent="0.25">
      <c r="B183" s="43"/>
      <c r="C183" s="43"/>
      <c r="D183" s="43"/>
      <c r="E183" s="43"/>
      <c r="F183" s="43"/>
      <c r="G183" s="43"/>
    </row>
    <row r="184" spans="2:7" ht="15.75" customHeight="1" x14ac:dyDescent="0.25">
      <c r="B184" s="43"/>
      <c r="C184" s="43"/>
      <c r="D184" s="43"/>
      <c r="E184" s="43"/>
      <c r="F184" s="43"/>
      <c r="G184" s="43"/>
    </row>
    <row r="185" spans="2:7" ht="15.75" customHeight="1" x14ac:dyDescent="0.25">
      <c r="B185" s="43"/>
      <c r="C185" s="43"/>
      <c r="D185" s="43"/>
      <c r="E185" s="43"/>
      <c r="F185" s="43"/>
      <c r="G185" s="43"/>
    </row>
    <row r="186" spans="2:7" ht="15.75" customHeight="1" x14ac:dyDescent="0.25"/>
    <row r="187" spans="2:7" ht="15.75" customHeight="1" x14ac:dyDescent="0.25"/>
    <row r="188" spans="2:7" ht="15.75" customHeight="1" x14ac:dyDescent="0.25"/>
    <row r="189" spans="2:7" ht="15.75" customHeight="1" x14ac:dyDescent="0.25"/>
    <row r="190" spans="2:7" ht="15.75" customHeight="1" x14ac:dyDescent="0.25"/>
    <row r="191" spans="2:7" ht="15.75" customHeight="1" x14ac:dyDescent="0.25"/>
    <row r="192" spans="2:7" ht="15.75" customHeight="1" x14ac:dyDescent="0.25"/>
    <row r="193" spans="2:9" ht="15.75" customHeight="1" x14ac:dyDescent="0.25">
      <c r="B193" s="3"/>
      <c r="C193" s="3" t="s">
        <v>17</v>
      </c>
      <c r="D193" s="3" t="s">
        <v>21</v>
      </c>
      <c r="E193" s="3" t="s">
        <v>22</v>
      </c>
      <c r="F193" s="3" t="s">
        <v>23</v>
      </c>
      <c r="G193" s="3" t="s">
        <v>24</v>
      </c>
      <c r="H193" s="3" t="s">
        <v>25</v>
      </c>
      <c r="I193" s="3" t="s">
        <v>26</v>
      </c>
    </row>
    <row r="194" spans="2:9" ht="15.75" customHeight="1" x14ac:dyDescent="0.25">
      <c r="B194" s="2" t="s">
        <v>136</v>
      </c>
      <c r="C194" s="5">
        <v>6</v>
      </c>
      <c r="D194" s="4">
        <v>1</v>
      </c>
      <c r="E194" s="4">
        <v>1</v>
      </c>
      <c r="F194" s="4">
        <v>1</v>
      </c>
      <c r="G194" s="4">
        <v>1</v>
      </c>
      <c r="H194" s="4">
        <v>2</v>
      </c>
      <c r="I194" s="6">
        <f>SUM(D194:H194)</f>
        <v>6</v>
      </c>
    </row>
    <row r="195" spans="2:9" ht="15.75" customHeight="1" x14ac:dyDescent="0.25">
      <c r="B195" s="2" t="s">
        <v>137</v>
      </c>
      <c r="C195" s="5">
        <v>4</v>
      </c>
      <c r="D195" s="4">
        <v>1</v>
      </c>
      <c r="E195" s="4">
        <v>1</v>
      </c>
      <c r="F195" s="4">
        <v>1</v>
      </c>
      <c r="G195" s="4">
        <v>1</v>
      </c>
      <c r="H195" s="4">
        <v>0</v>
      </c>
      <c r="I195" s="6">
        <f>SUM(D195:H195)</f>
        <v>4</v>
      </c>
    </row>
    <row r="196" spans="2:9" ht="15.75" customHeight="1" x14ac:dyDescent="0.25">
      <c r="B196" s="2" t="s">
        <v>138</v>
      </c>
      <c r="C196" s="5">
        <v>5</v>
      </c>
      <c r="D196" s="4">
        <v>2</v>
      </c>
      <c r="E196" s="4">
        <v>1</v>
      </c>
      <c r="F196" s="4">
        <v>1</v>
      </c>
      <c r="G196" s="4">
        <v>1</v>
      </c>
      <c r="H196" s="4">
        <v>0</v>
      </c>
      <c r="I196" s="6">
        <f>SUM(D196:H196)</f>
        <v>5</v>
      </c>
    </row>
    <row r="197" spans="2:9" ht="15.75" customHeight="1" x14ac:dyDescent="0.25"/>
    <row r="198" spans="2:9" ht="15.75" customHeight="1" x14ac:dyDescent="0.25"/>
    <row r="199" spans="2:9" ht="15.75" customHeight="1" x14ac:dyDescent="0.25">
      <c r="B199" s="8"/>
      <c r="C199" s="3"/>
      <c r="D199" s="3"/>
      <c r="E199" s="3"/>
      <c r="F199" s="3"/>
      <c r="G199" s="3"/>
      <c r="H199" s="3"/>
    </row>
    <row r="200" spans="2:9" ht="15.75" customHeight="1" x14ac:dyDescent="0.25"/>
    <row r="201" spans="2:9" ht="15.75" customHeight="1" x14ac:dyDescent="0.25">
      <c r="B201" s="7" t="s">
        <v>27</v>
      </c>
      <c r="C201" s="3">
        <f>SUM(C194:C196)</f>
        <v>15</v>
      </c>
      <c r="D201" s="3">
        <f>C201-SUM(D194:D196)</f>
        <v>11</v>
      </c>
      <c r="E201" s="3">
        <f>D201-SUM(E194:E196)</f>
        <v>8</v>
      </c>
      <c r="F201" s="3">
        <f>E201-SUM(F194:F196)</f>
        <v>5</v>
      </c>
      <c r="G201" s="3">
        <f>F201-SUM(G194:G196)</f>
        <v>2</v>
      </c>
      <c r="H201" s="3">
        <f>G201-SUM(H194:H196)</f>
        <v>0</v>
      </c>
    </row>
    <row r="202" spans="2:9" ht="15.75" customHeight="1" x14ac:dyDescent="0.25">
      <c r="B202" s="7" t="s">
        <v>28</v>
      </c>
      <c r="C202" s="3">
        <f>SUM(C194:C196)</f>
        <v>15</v>
      </c>
      <c r="D202" s="3">
        <f>C202-(SUM(C194:C196)/5)</f>
        <v>12</v>
      </c>
      <c r="E202" s="3">
        <f>D202-(SUM(D194:D196)/5)</f>
        <v>11.2</v>
      </c>
      <c r="F202" s="3">
        <f>E202-(SUM(E194:E196)/5)</f>
        <v>10.6</v>
      </c>
      <c r="G202" s="3">
        <f>F202-(SUM(F194:F196)/5)</f>
        <v>10</v>
      </c>
      <c r="H202" s="3">
        <f>G202-(SUM(G194:G196)/5)</f>
        <v>9.4</v>
      </c>
    </row>
    <row r="203" spans="2:9" ht="15.75" customHeight="1" x14ac:dyDescent="0.25"/>
    <row r="204" spans="2:9" ht="15.75" customHeight="1" x14ac:dyDescent="0.25"/>
    <row r="205" spans="2:9" ht="15.75" customHeight="1" x14ac:dyDescent="0.25"/>
    <row r="206" spans="2:9" ht="15.75" customHeight="1" x14ac:dyDescent="0.25">
      <c r="B206" s="43" t="s">
        <v>29</v>
      </c>
      <c r="C206" s="43"/>
      <c r="D206" s="43"/>
      <c r="E206" s="43"/>
      <c r="F206" s="43"/>
      <c r="G206" s="43"/>
    </row>
    <row r="207" spans="2:9" ht="15.75" customHeight="1" x14ac:dyDescent="0.25">
      <c r="B207" s="43"/>
      <c r="C207" s="43"/>
      <c r="D207" s="43"/>
      <c r="E207" s="43"/>
      <c r="F207" s="43"/>
      <c r="G207" s="43"/>
    </row>
    <row r="208" spans="2:9" ht="15.75" customHeight="1" x14ac:dyDescent="0.25">
      <c r="B208" s="43"/>
      <c r="C208" s="43"/>
      <c r="D208" s="43"/>
      <c r="E208" s="43"/>
      <c r="F208" s="43"/>
      <c r="G208" s="43"/>
    </row>
    <row r="209" spans="2:9" ht="15.75" customHeight="1" x14ac:dyDescent="0.25">
      <c r="B209" s="43"/>
      <c r="C209" s="43"/>
      <c r="D209" s="43"/>
      <c r="E209" s="43"/>
      <c r="F209" s="43"/>
      <c r="G209" s="43"/>
    </row>
    <row r="210" spans="2:9" ht="15.75" customHeight="1" x14ac:dyDescent="0.25">
      <c r="B210" s="43"/>
      <c r="C210" s="43"/>
      <c r="D210" s="43"/>
      <c r="E210" s="43"/>
      <c r="F210" s="43"/>
      <c r="G210" s="43"/>
    </row>
    <row r="211" spans="2:9" ht="15.75" customHeight="1" x14ac:dyDescent="0.25">
      <c r="B211" s="43"/>
      <c r="C211" s="43"/>
      <c r="D211" s="43"/>
      <c r="E211" s="43"/>
      <c r="F211" s="43"/>
      <c r="G211" s="43"/>
    </row>
    <row r="212" spans="2:9" ht="15.75" customHeight="1" x14ac:dyDescent="0.25">
      <c r="B212" s="43"/>
      <c r="C212" s="43"/>
      <c r="D212" s="43"/>
      <c r="E212" s="43"/>
      <c r="F212" s="43"/>
      <c r="G212" s="43"/>
    </row>
    <row r="213" spans="2:9" ht="15.75" customHeight="1" x14ac:dyDescent="0.25">
      <c r="B213" s="43"/>
      <c r="C213" s="43"/>
      <c r="D213" s="43"/>
      <c r="E213" s="43"/>
      <c r="F213" s="43"/>
      <c r="G213" s="43"/>
    </row>
    <row r="214" spans="2:9" ht="15.75" customHeight="1" x14ac:dyDescent="0.25"/>
    <row r="215" spans="2:9" ht="15.75" customHeight="1" x14ac:dyDescent="0.25"/>
    <row r="216" spans="2:9" ht="15.75" customHeight="1" x14ac:dyDescent="0.25"/>
    <row r="217" spans="2:9" ht="15.75" customHeight="1" x14ac:dyDescent="0.25"/>
    <row r="218" spans="2:9" ht="15.75" customHeight="1" x14ac:dyDescent="0.25"/>
    <row r="219" spans="2:9" ht="15.75" customHeight="1" x14ac:dyDescent="0.25">
      <c r="B219" s="3"/>
      <c r="C219" s="3" t="s">
        <v>17</v>
      </c>
      <c r="D219" s="3" t="s">
        <v>21</v>
      </c>
      <c r="E219" s="3" t="s">
        <v>22</v>
      </c>
      <c r="F219" s="3" t="s">
        <v>23</v>
      </c>
      <c r="G219" s="3" t="s">
        <v>24</v>
      </c>
      <c r="H219" s="3" t="s">
        <v>25</v>
      </c>
      <c r="I219" s="3" t="s">
        <v>26</v>
      </c>
    </row>
    <row r="220" spans="2:9" ht="15.75" customHeight="1" x14ac:dyDescent="0.25">
      <c r="B220" s="2" t="s">
        <v>142</v>
      </c>
      <c r="C220" s="5">
        <v>6</v>
      </c>
      <c r="D220" s="4">
        <v>1</v>
      </c>
      <c r="E220" s="4">
        <v>1</v>
      </c>
      <c r="F220" s="4">
        <v>1</v>
      </c>
      <c r="G220" s="4">
        <v>1</v>
      </c>
      <c r="H220" s="4">
        <v>2</v>
      </c>
      <c r="I220" s="6">
        <f>SUM(D220:H220)</f>
        <v>6</v>
      </c>
    </row>
    <row r="221" spans="2:9" ht="15.75" customHeight="1" x14ac:dyDescent="0.25">
      <c r="B221" s="2" t="s">
        <v>143</v>
      </c>
      <c r="C221" s="5">
        <v>4</v>
      </c>
      <c r="D221" s="4">
        <v>1</v>
      </c>
      <c r="E221" s="4">
        <v>1</v>
      </c>
      <c r="F221" s="4">
        <v>1</v>
      </c>
      <c r="G221" s="4">
        <v>1</v>
      </c>
      <c r="H221" s="4">
        <v>0</v>
      </c>
      <c r="I221" s="6">
        <f>SUM(D221:H221)</f>
        <v>4</v>
      </c>
    </row>
    <row r="222" spans="2:9" ht="15.75" customHeight="1" x14ac:dyDescent="0.25">
      <c r="B222" s="2" t="s">
        <v>144</v>
      </c>
      <c r="C222" s="5">
        <v>5</v>
      </c>
      <c r="D222" s="4">
        <v>2</v>
      </c>
      <c r="E222" s="4">
        <v>1</v>
      </c>
      <c r="F222" s="4">
        <v>1</v>
      </c>
      <c r="G222" s="4">
        <v>1</v>
      </c>
      <c r="H222" s="4">
        <v>0</v>
      </c>
      <c r="I222" s="6">
        <f>SUM(D222:H222)</f>
        <v>5</v>
      </c>
    </row>
    <row r="223" spans="2:9" ht="15.75" customHeight="1" x14ac:dyDescent="0.25"/>
    <row r="224" spans="2:9" ht="15.75" customHeight="1" x14ac:dyDescent="0.25"/>
    <row r="225" spans="2:8" ht="15.75" customHeight="1" x14ac:dyDescent="0.25">
      <c r="B225" s="8"/>
      <c r="C225" s="3"/>
      <c r="D225" s="3"/>
      <c r="E225" s="3"/>
      <c r="F225" s="3"/>
      <c r="G225" s="3"/>
      <c r="H225" s="3"/>
    </row>
    <row r="226" spans="2:8" ht="15.75" customHeight="1" x14ac:dyDescent="0.25"/>
    <row r="227" spans="2:8" ht="15.75" customHeight="1" x14ac:dyDescent="0.25">
      <c r="B227" s="7" t="s">
        <v>27</v>
      </c>
      <c r="C227" s="3">
        <f>SUM(C220:C222)</f>
        <v>15</v>
      </c>
      <c r="D227" s="3">
        <f>C227-SUM(D220:D222)</f>
        <v>11</v>
      </c>
      <c r="E227" s="3">
        <f>D227-SUM(E220:E222)</f>
        <v>8</v>
      </c>
      <c r="F227" s="3">
        <f>E227-SUM(F220:F222)</f>
        <v>5</v>
      </c>
      <c r="G227" s="3">
        <f>F227-SUM(G220:G222)</f>
        <v>2</v>
      </c>
      <c r="H227" s="3">
        <f>G227-SUM(H220:H222)</f>
        <v>0</v>
      </c>
    </row>
    <row r="228" spans="2:8" ht="15.75" customHeight="1" x14ac:dyDescent="0.25">
      <c r="B228" s="7" t="s">
        <v>28</v>
      </c>
      <c r="C228" s="3">
        <f>SUM(C220:C222)</f>
        <v>15</v>
      </c>
      <c r="D228" s="3">
        <f>C228-(SUM(C220:C222)/5)</f>
        <v>12</v>
      </c>
      <c r="E228" s="3">
        <f>D228-(SUM(D220:D222)/5)</f>
        <v>11.2</v>
      </c>
      <c r="F228" s="3">
        <f>E228-(SUM(E220:E222)/5)</f>
        <v>10.6</v>
      </c>
      <c r="G228" s="3">
        <f>F228-(SUM(F220:F222)/5)</f>
        <v>10</v>
      </c>
      <c r="H228" s="3">
        <f>G228-(SUM(G220:G222)/5)</f>
        <v>9.4</v>
      </c>
    </row>
    <row r="229" spans="2:8" ht="15.75" customHeight="1" x14ac:dyDescent="0.25"/>
    <row r="230" spans="2:8" ht="15.75" customHeight="1" x14ac:dyDescent="0.25"/>
    <row r="231" spans="2:8" ht="15.75" customHeight="1" x14ac:dyDescent="0.25"/>
    <row r="232" spans="2:8" ht="15.75" customHeight="1" x14ac:dyDescent="0.25">
      <c r="B232" s="43" t="s">
        <v>29</v>
      </c>
      <c r="C232" s="43"/>
      <c r="D232" s="43"/>
      <c r="E232" s="43"/>
      <c r="F232" s="43"/>
      <c r="G232" s="43"/>
    </row>
    <row r="233" spans="2:8" ht="15.75" customHeight="1" x14ac:dyDescent="0.25">
      <c r="B233" s="43"/>
      <c r="C233" s="43"/>
      <c r="D233" s="43"/>
      <c r="E233" s="43"/>
      <c r="F233" s="43"/>
      <c r="G233" s="43"/>
    </row>
    <row r="234" spans="2:8" ht="15.75" customHeight="1" x14ac:dyDescent="0.25">
      <c r="B234" s="43"/>
      <c r="C234" s="43"/>
      <c r="D234" s="43"/>
      <c r="E234" s="43"/>
      <c r="F234" s="43"/>
      <c r="G234" s="43"/>
    </row>
    <row r="235" spans="2:8" ht="15.75" customHeight="1" x14ac:dyDescent="0.25">
      <c r="B235" s="43"/>
      <c r="C235" s="43"/>
      <c r="D235" s="43"/>
      <c r="E235" s="43"/>
      <c r="F235" s="43"/>
      <c r="G235" s="43"/>
    </row>
    <row r="236" spans="2:8" ht="15.75" customHeight="1" x14ac:dyDescent="0.25">
      <c r="B236" s="43"/>
      <c r="C236" s="43"/>
      <c r="D236" s="43"/>
      <c r="E236" s="43"/>
      <c r="F236" s="43"/>
      <c r="G236" s="43"/>
    </row>
    <row r="237" spans="2:8" ht="15.75" customHeight="1" x14ac:dyDescent="0.25">
      <c r="B237" s="43"/>
      <c r="C237" s="43"/>
      <c r="D237" s="43"/>
      <c r="E237" s="43"/>
      <c r="F237" s="43"/>
      <c r="G237" s="43"/>
    </row>
    <row r="238" spans="2:8" ht="15.75" customHeight="1" x14ac:dyDescent="0.25">
      <c r="B238" s="43"/>
      <c r="C238" s="43"/>
      <c r="D238" s="43"/>
      <c r="E238" s="43"/>
      <c r="F238" s="43"/>
      <c r="G238" s="43"/>
    </row>
    <row r="239" spans="2:8" ht="15.75" customHeight="1" x14ac:dyDescent="0.25">
      <c r="B239" s="43"/>
      <c r="C239" s="43"/>
      <c r="D239" s="43"/>
      <c r="E239" s="43"/>
      <c r="F239" s="43"/>
      <c r="G239" s="43"/>
    </row>
    <row r="240" spans="2:8" ht="15.75" customHeight="1" x14ac:dyDescent="0.25"/>
    <row r="241" spans="2:9" ht="15.75" customHeight="1" x14ac:dyDescent="0.25"/>
    <row r="242" spans="2:9" ht="15.75" customHeight="1" x14ac:dyDescent="0.25"/>
    <row r="243" spans="2:9" ht="15.75" customHeight="1" x14ac:dyDescent="0.25">
      <c r="B243" s="3"/>
      <c r="C243" s="3" t="s">
        <v>17</v>
      </c>
      <c r="D243" s="3" t="s">
        <v>21</v>
      </c>
      <c r="E243" s="3" t="s">
        <v>22</v>
      </c>
      <c r="F243" s="3" t="s">
        <v>23</v>
      </c>
      <c r="G243" s="3" t="s">
        <v>24</v>
      </c>
      <c r="H243" s="3" t="s">
        <v>25</v>
      </c>
      <c r="I243" s="3" t="s">
        <v>26</v>
      </c>
    </row>
    <row r="244" spans="2:9" ht="15.75" customHeight="1" x14ac:dyDescent="0.25">
      <c r="B244" s="2" t="s">
        <v>148</v>
      </c>
      <c r="C244" s="5">
        <v>6</v>
      </c>
      <c r="D244" s="4">
        <v>1</v>
      </c>
      <c r="E244" s="4">
        <v>1</v>
      </c>
      <c r="F244" s="4">
        <v>1</v>
      </c>
      <c r="G244" s="4">
        <v>1</v>
      </c>
      <c r="H244" s="4">
        <v>2</v>
      </c>
      <c r="I244" s="6">
        <f>SUM(D244:H244)</f>
        <v>6</v>
      </c>
    </row>
    <row r="245" spans="2:9" ht="15.75" customHeight="1" x14ac:dyDescent="0.25">
      <c r="B245" s="2" t="s">
        <v>149</v>
      </c>
      <c r="C245" s="5">
        <v>4</v>
      </c>
      <c r="D245" s="4">
        <v>1</v>
      </c>
      <c r="E245" s="4">
        <v>1</v>
      </c>
      <c r="F245" s="4">
        <v>1</v>
      </c>
      <c r="G245" s="4">
        <v>1</v>
      </c>
      <c r="H245" s="4">
        <v>0</v>
      </c>
      <c r="I245" s="6">
        <f>SUM(D245:H245)</f>
        <v>4</v>
      </c>
    </row>
    <row r="246" spans="2:9" ht="15.75" customHeight="1" x14ac:dyDescent="0.25">
      <c r="B246" s="2" t="s">
        <v>150</v>
      </c>
      <c r="C246" s="5">
        <v>5</v>
      </c>
      <c r="D246" s="4">
        <v>2</v>
      </c>
      <c r="E246" s="4">
        <v>1</v>
      </c>
      <c r="F246" s="4">
        <v>1</v>
      </c>
      <c r="G246" s="4">
        <v>1</v>
      </c>
      <c r="H246" s="4">
        <v>0</v>
      </c>
      <c r="I246" s="6">
        <f>SUM(D246:H246)</f>
        <v>5</v>
      </c>
    </row>
    <row r="247" spans="2:9" ht="15.75" customHeight="1" x14ac:dyDescent="0.25"/>
    <row r="248" spans="2:9" ht="15.75" customHeight="1" x14ac:dyDescent="0.25"/>
    <row r="249" spans="2:9" ht="15.75" customHeight="1" x14ac:dyDescent="0.25">
      <c r="B249" s="8"/>
      <c r="C249" s="3"/>
      <c r="D249" s="3"/>
      <c r="E249" s="3"/>
      <c r="F249" s="3"/>
      <c r="G249" s="3"/>
      <c r="H249" s="3"/>
    </row>
    <row r="250" spans="2:9" ht="15.75" customHeight="1" x14ac:dyDescent="0.25"/>
    <row r="251" spans="2:9" ht="15.75" customHeight="1" x14ac:dyDescent="0.25">
      <c r="B251" s="7" t="s">
        <v>27</v>
      </c>
      <c r="C251" s="3">
        <f>SUM(C244:C246)</f>
        <v>15</v>
      </c>
      <c r="D251" s="3">
        <f>C251-SUM(D244:D246)</f>
        <v>11</v>
      </c>
      <c r="E251" s="3">
        <f>D251-SUM(E244:E246)</f>
        <v>8</v>
      </c>
      <c r="F251" s="3">
        <f>E251-SUM(F244:F246)</f>
        <v>5</v>
      </c>
      <c r="G251" s="3">
        <f>F251-SUM(G244:G246)</f>
        <v>2</v>
      </c>
      <c r="H251" s="3">
        <f>G251-SUM(H244:H246)</f>
        <v>0</v>
      </c>
    </row>
    <row r="252" spans="2:9" ht="15.75" customHeight="1" x14ac:dyDescent="0.25">
      <c r="B252" s="7" t="s">
        <v>28</v>
      </c>
      <c r="C252" s="3">
        <f>SUM(C244:C246)</f>
        <v>15</v>
      </c>
      <c r="D252" s="3">
        <f>C252-(SUM(C244:C246)/5)</f>
        <v>12</v>
      </c>
      <c r="E252" s="3">
        <f>D252-(SUM(D244:D246)/5)</f>
        <v>11.2</v>
      </c>
      <c r="F252" s="3">
        <f>E252-(SUM(E244:E246)/5)</f>
        <v>10.6</v>
      </c>
      <c r="G252" s="3">
        <f>F252-(SUM(F244:F246)/5)</f>
        <v>10</v>
      </c>
      <c r="H252" s="3">
        <f>G252-(SUM(G244:G246)/5)</f>
        <v>9.4</v>
      </c>
    </row>
    <row r="253" spans="2:9" ht="15.75" customHeight="1" x14ac:dyDescent="0.25"/>
    <row r="254" spans="2:9" ht="15.75" customHeight="1" x14ac:dyDescent="0.25"/>
    <row r="255" spans="2:9" ht="15.75" customHeight="1" x14ac:dyDescent="0.25"/>
    <row r="256" spans="2:9" ht="15.75" customHeight="1" x14ac:dyDescent="0.25">
      <c r="B256" s="43" t="s">
        <v>29</v>
      </c>
      <c r="C256" s="43"/>
      <c r="D256" s="43"/>
      <c r="E256" s="43"/>
      <c r="F256" s="43"/>
      <c r="G256" s="43"/>
    </row>
    <row r="257" spans="2:9" ht="15.75" customHeight="1" x14ac:dyDescent="0.25">
      <c r="B257" s="43"/>
      <c r="C257" s="43"/>
      <c r="D257" s="43"/>
      <c r="E257" s="43"/>
      <c r="F257" s="43"/>
      <c r="G257" s="43"/>
    </row>
    <row r="258" spans="2:9" ht="15.75" customHeight="1" x14ac:dyDescent="0.25">
      <c r="B258" s="43"/>
      <c r="C258" s="43"/>
      <c r="D258" s="43"/>
      <c r="E258" s="43"/>
      <c r="F258" s="43"/>
      <c r="G258" s="43"/>
    </row>
    <row r="259" spans="2:9" ht="15.75" customHeight="1" x14ac:dyDescent="0.25">
      <c r="B259" s="43"/>
      <c r="C259" s="43"/>
      <c r="D259" s="43"/>
      <c r="E259" s="43"/>
      <c r="F259" s="43"/>
      <c r="G259" s="43"/>
    </row>
    <row r="260" spans="2:9" ht="15.75" customHeight="1" x14ac:dyDescent="0.25">
      <c r="B260" s="43"/>
      <c r="C260" s="43"/>
      <c r="D260" s="43"/>
      <c r="E260" s="43"/>
      <c r="F260" s="43"/>
      <c r="G260" s="43"/>
    </row>
    <row r="261" spans="2:9" ht="15.75" customHeight="1" x14ac:dyDescent="0.25">
      <c r="B261" s="43"/>
      <c r="C261" s="43"/>
      <c r="D261" s="43"/>
      <c r="E261" s="43"/>
      <c r="F261" s="43"/>
      <c r="G261" s="43"/>
    </row>
    <row r="262" spans="2:9" ht="15.75" customHeight="1" x14ac:dyDescent="0.25">
      <c r="B262" s="43"/>
      <c r="C262" s="43"/>
      <c r="D262" s="43"/>
      <c r="E262" s="43"/>
      <c r="F262" s="43"/>
      <c r="G262" s="43"/>
    </row>
    <row r="263" spans="2:9" ht="15.75" customHeight="1" x14ac:dyDescent="0.25">
      <c r="B263" s="43"/>
      <c r="C263" s="43"/>
      <c r="D263" s="43"/>
      <c r="E263" s="43"/>
      <c r="F263" s="43"/>
      <c r="G263" s="43"/>
    </row>
    <row r="264" spans="2:9" ht="15.75" customHeight="1" x14ac:dyDescent="0.25"/>
    <row r="265" spans="2:9" ht="15.75" customHeight="1" x14ac:dyDescent="0.25"/>
    <row r="266" spans="2:9" ht="15.75" customHeight="1" x14ac:dyDescent="0.25"/>
    <row r="267" spans="2:9" ht="15.75" customHeight="1" x14ac:dyDescent="0.25"/>
    <row r="268" spans="2:9" ht="15.75" customHeight="1" x14ac:dyDescent="0.25"/>
    <row r="269" spans="2:9" ht="15.75" customHeight="1" x14ac:dyDescent="0.25">
      <c r="B269" s="3"/>
      <c r="C269" s="3" t="s">
        <v>17</v>
      </c>
      <c r="D269" s="3" t="s">
        <v>21</v>
      </c>
      <c r="E269" s="3" t="s">
        <v>22</v>
      </c>
      <c r="F269" s="3" t="s">
        <v>23</v>
      </c>
      <c r="G269" s="3" t="s">
        <v>24</v>
      </c>
      <c r="H269" s="3" t="s">
        <v>25</v>
      </c>
      <c r="I269" s="3" t="s">
        <v>26</v>
      </c>
    </row>
    <row r="270" spans="2:9" ht="15.75" customHeight="1" x14ac:dyDescent="0.25">
      <c r="B270" s="2" t="s">
        <v>151</v>
      </c>
      <c r="C270" s="5">
        <v>6</v>
      </c>
      <c r="D270" s="4">
        <v>1</v>
      </c>
      <c r="E270" s="4">
        <v>1</v>
      </c>
      <c r="F270" s="4">
        <v>1</v>
      </c>
      <c r="G270" s="4">
        <v>1</v>
      </c>
      <c r="H270" s="4">
        <v>2</v>
      </c>
      <c r="I270" s="6">
        <f>SUM(D270:H270)</f>
        <v>6</v>
      </c>
    </row>
    <row r="271" spans="2:9" ht="15.75" customHeight="1" x14ac:dyDescent="0.25">
      <c r="B271" s="2" t="s">
        <v>152</v>
      </c>
      <c r="C271" s="5">
        <v>4</v>
      </c>
      <c r="D271" s="4">
        <v>1</v>
      </c>
      <c r="E271" s="4">
        <v>1</v>
      </c>
      <c r="F271" s="4">
        <v>1</v>
      </c>
      <c r="G271" s="4">
        <v>1</v>
      </c>
      <c r="H271" s="4">
        <v>0</v>
      </c>
      <c r="I271" s="6">
        <f>SUM(D271:H271)</f>
        <v>4</v>
      </c>
    </row>
    <row r="272" spans="2:9" ht="15.75" customHeight="1" x14ac:dyDescent="0.25">
      <c r="B272" s="2" t="s">
        <v>153</v>
      </c>
      <c r="C272" s="5">
        <v>5</v>
      </c>
      <c r="D272" s="4">
        <v>2</v>
      </c>
      <c r="E272" s="4">
        <v>1</v>
      </c>
      <c r="F272" s="4">
        <v>1</v>
      </c>
      <c r="G272" s="4">
        <v>1</v>
      </c>
      <c r="H272" s="4">
        <v>0</v>
      </c>
      <c r="I272" s="6">
        <f>SUM(D272:H272)</f>
        <v>5</v>
      </c>
    </row>
    <row r="273" spans="2:8" ht="15.75" customHeight="1" x14ac:dyDescent="0.25"/>
    <row r="274" spans="2:8" ht="15.75" customHeight="1" x14ac:dyDescent="0.25"/>
    <row r="275" spans="2:8" ht="15.75" customHeight="1" x14ac:dyDescent="0.25">
      <c r="B275" s="8"/>
      <c r="C275" s="3"/>
      <c r="D275" s="3"/>
      <c r="E275" s="3"/>
      <c r="F275" s="3"/>
      <c r="G275" s="3"/>
      <c r="H275" s="3"/>
    </row>
    <row r="276" spans="2:8" ht="15.75" customHeight="1" x14ac:dyDescent="0.25"/>
    <row r="277" spans="2:8" ht="15.75" customHeight="1" x14ac:dyDescent="0.25">
      <c r="B277" s="7" t="s">
        <v>27</v>
      </c>
      <c r="C277" s="3">
        <f>SUM(C270:C272)</f>
        <v>15</v>
      </c>
      <c r="D277" s="3">
        <f>C277-SUM(D270:D272)</f>
        <v>11</v>
      </c>
      <c r="E277" s="3">
        <f>D277-SUM(E270:E272)</f>
        <v>8</v>
      </c>
      <c r="F277" s="3">
        <f>E277-SUM(F270:F272)</f>
        <v>5</v>
      </c>
      <c r="G277" s="3">
        <f>F277-SUM(G270:G272)</f>
        <v>2</v>
      </c>
      <c r="H277" s="3">
        <f>G277-SUM(H270:H272)</f>
        <v>0</v>
      </c>
    </row>
    <row r="278" spans="2:8" ht="15.75" customHeight="1" x14ac:dyDescent="0.25">
      <c r="B278" s="7" t="s">
        <v>28</v>
      </c>
      <c r="C278" s="3">
        <f>SUM(C270:C272)</f>
        <v>15</v>
      </c>
      <c r="D278" s="3">
        <f>C278-(SUM(C270:C272)/5)</f>
        <v>12</v>
      </c>
      <c r="E278" s="3">
        <f>D278-(SUM(D270:D272)/5)</f>
        <v>11.2</v>
      </c>
      <c r="F278" s="3">
        <f>E278-(SUM(E270:E272)/5)</f>
        <v>10.6</v>
      </c>
      <c r="G278" s="3">
        <f>F278-(SUM(F270:F272)/5)</f>
        <v>10</v>
      </c>
      <c r="H278" s="3">
        <f>G278-(SUM(G270:G272)/5)</f>
        <v>9.4</v>
      </c>
    </row>
    <row r="279" spans="2:8" ht="15.75" customHeight="1" x14ac:dyDescent="0.25"/>
    <row r="280" spans="2:8" ht="15.75" customHeight="1" x14ac:dyDescent="0.25"/>
    <row r="281" spans="2:8" ht="15.75" customHeight="1" x14ac:dyDescent="0.25"/>
    <row r="282" spans="2:8" ht="15.75" customHeight="1" x14ac:dyDescent="0.25">
      <c r="B282" s="43" t="s">
        <v>29</v>
      </c>
      <c r="C282" s="43"/>
      <c r="D282" s="43"/>
      <c r="E282" s="43"/>
      <c r="F282" s="43"/>
      <c r="G282" s="43"/>
    </row>
    <row r="283" spans="2:8" ht="15.75" customHeight="1" x14ac:dyDescent="0.25">
      <c r="B283" s="43"/>
      <c r="C283" s="43"/>
      <c r="D283" s="43"/>
      <c r="E283" s="43"/>
      <c r="F283" s="43"/>
      <c r="G283" s="43"/>
    </row>
    <row r="284" spans="2:8" ht="15.75" customHeight="1" x14ac:dyDescent="0.25">
      <c r="B284" s="43"/>
      <c r="C284" s="43"/>
      <c r="D284" s="43"/>
      <c r="E284" s="43"/>
      <c r="F284" s="43"/>
      <c r="G284" s="43"/>
    </row>
    <row r="285" spans="2:8" ht="15.75" customHeight="1" x14ac:dyDescent="0.25">
      <c r="B285" s="43"/>
      <c r="C285" s="43"/>
      <c r="D285" s="43"/>
      <c r="E285" s="43"/>
      <c r="F285" s="43"/>
      <c r="G285" s="43"/>
    </row>
    <row r="286" spans="2:8" ht="15.75" customHeight="1" x14ac:dyDescent="0.25">
      <c r="B286" s="43"/>
      <c r="C286" s="43"/>
      <c r="D286" s="43"/>
      <c r="E286" s="43"/>
      <c r="F286" s="43"/>
      <c r="G286" s="43"/>
    </row>
    <row r="287" spans="2:8" ht="15.75" customHeight="1" x14ac:dyDescent="0.25">
      <c r="B287" s="43"/>
      <c r="C287" s="43"/>
      <c r="D287" s="43"/>
      <c r="E287" s="43"/>
      <c r="F287" s="43"/>
      <c r="G287" s="43"/>
    </row>
    <row r="288" spans="2:8" ht="15.75" customHeight="1" x14ac:dyDescent="0.25">
      <c r="B288" s="43"/>
      <c r="C288" s="43"/>
      <c r="D288" s="43"/>
      <c r="E288" s="43"/>
      <c r="F288" s="43"/>
      <c r="G288" s="43"/>
    </row>
    <row r="289" spans="2:9" ht="15.75" customHeight="1" x14ac:dyDescent="0.25">
      <c r="B289" s="43"/>
      <c r="C289" s="43"/>
      <c r="D289" s="43"/>
      <c r="E289" s="43"/>
      <c r="F289" s="43"/>
      <c r="G289" s="43"/>
    </row>
    <row r="290" spans="2:9" ht="15.75" customHeight="1" x14ac:dyDescent="0.25"/>
    <row r="291" spans="2:9" ht="15.75" customHeight="1" x14ac:dyDescent="0.25"/>
    <row r="292" spans="2:9" ht="15.75" customHeight="1" x14ac:dyDescent="0.25"/>
    <row r="293" spans="2:9" ht="15.75" customHeight="1" x14ac:dyDescent="0.25"/>
    <row r="294" spans="2:9" ht="15.75" customHeight="1" x14ac:dyDescent="0.25">
      <c r="B294" s="3"/>
      <c r="C294" s="3" t="s">
        <v>17</v>
      </c>
      <c r="D294" s="3" t="s">
        <v>21</v>
      </c>
      <c r="E294" s="3" t="s">
        <v>22</v>
      </c>
      <c r="F294" s="3" t="s">
        <v>23</v>
      </c>
      <c r="G294" s="3" t="s">
        <v>24</v>
      </c>
      <c r="H294" s="3" t="s">
        <v>25</v>
      </c>
      <c r="I294" s="3" t="s">
        <v>26</v>
      </c>
    </row>
    <row r="295" spans="2:9" ht="15.75" customHeight="1" x14ac:dyDescent="0.25">
      <c r="B295" s="2" t="s">
        <v>154</v>
      </c>
      <c r="C295" s="5">
        <v>6</v>
      </c>
      <c r="D295" s="4">
        <v>1</v>
      </c>
      <c r="E295" s="4">
        <v>1</v>
      </c>
      <c r="F295" s="4">
        <v>1</v>
      </c>
      <c r="G295" s="4">
        <v>1</v>
      </c>
      <c r="H295" s="4">
        <v>2</v>
      </c>
      <c r="I295" s="6">
        <f>SUM(D295:H295)</f>
        <v>6</v>
      </c>
    </row>
    <row r="296" spans="2:9" ht="15.75" customHeight="1" x14ac:dyDescent="0.25">
      <c r="B296" s="2" t="s">
        <v>155</v>
      </c>
      <c r="C296" s="5">
        <v>4</v>
      </c>
      <c r="D296" s="4">
        <v>1</v>
      </c>
      <c r="E296" s="4">
        <v>1</v>
      </c>
      <c r="F296" s="4">
        <v>1</v>
      </c>
      <c r="G296" s="4">
        <v>1</v>
      </c>
      <c r="H296" s="4">
        <v>0</v>
      </c>
      <c r="I296" s="6">
        <f>SUM(D296:H296)</f>
        <v>4</v>
      </c>
    </row>
    <row r="297" spans="2:9" ht="15.75" customHeight="1" x14ac:dyDescent="0.25">
      <c r="B297" s="2" t="s">
        <v>156</v>
      </c>
      <c r="C297" s="5">
        <v>5</v>
      </c>
      <c r="D297" s="4">
        <v>2</v>
      </c>
      <c r="E297" s="4">
        <v>1</v>
      </c>
      <c r="F297" s="4">
        <v>1</v>
      </c>
      <c r="G297" s="4">
        <v>1</v>
      </c>
      <c r="H297" s="4">
        <v>0</v>
      </c>
      <c r="I297" s="6">
        <f>SUM(D297:H297)</f>
        <v>5</v>
      </c>
    </row>
    <row r="298" spans="2:9" ht="15.75" customHeight="1" x14ac:dyDescent="0.25"/>
    <row r="299" spans="2:9" ht="15.75" customHeight="1" x14ac:dyDescent="0.25"/>
    <row r="300" spans="2:9" ht="15.75" customHeight="1" x14ac:dyDescent="0.25">
      <c r="B300" s="8"/>
      <c r="C300" s="3"/>
      <c r="D300" s="3"/>
      <c r="E300" s="3"/>
      <c r="F300" s="3"/>
      <c r="G300" s="3"/>
      <c r="H300" s="3"/>
    </row>
    <row r="301" spans="2:9" ht="15.75" customHeight="1" x14ac:dyDescent="0.25"/>
    <row r="302" spans="2:9" ht="15.75" customHeight="1" x14ac:dyDescent="0.25">
      <c r="B302" s="7" t="s">
        <v>27</v>
      </c>
      <c r="C302" s="3">
        <f>SUM(C295:C297)</f>
        <v>15</v>
      </c>
      <c r="D302" s="3">
        <f>C302-SUM(D295:D297)</f>
        <v>11</v>
      </c>
      <c r="E302" s="3">
        <f>D302-SUM(E295:E297)</f>
        <v>8</v>
      </c>
      <c r="F302" s="3">
        <f>E302-SUM(F295:F297)</f>
        <v>5</v>
      </c>
      <c r="G302" s="3">
        <f>F302-SUM(G295:G297)</f>
        <v>2</v>
      </c>
      <c r="H302" s="3">
        <f>G302-SUM(H295:H297)</f>
        <v>0</v>
      </c>
    </row>
    <row r="303" spans="2:9" ht="15.75" customHeight="1" x14ac:dyDescent="0.25">
      <c r="B303" s="7" t="s">
        <v>28</v>
      </c>
      <c r="C303" s="3">
        <f>SUM(C295:C297)</f>
        <v>15</v>
      </c>
      <c r="D303" s="3">
        <f>C303-(SUM(C295:C297)/5)</f>
        <v>12</v>
      </c>
      <c r="E303" s="3">
        <f>D303-(SUM(D295:D297)/5)</f>
        <v>11.2</v>
      </c>
      <c r="F303" s="3">
        <f>E303-(SUM(E295:E297)/5)</f>
        <v>10.6</v>
      </c>
      <c r="G303" s="3">
        <f>F303-(SUM(F295:F297)/5)</f>
        <v>10</v>
      </c>
      <c r="H303" s="3">
        <f>G303-(SUM(G295:G297)/5)</f>
        <v>9.4</v>
      </c>
    </row>
    <row r="304" spans="2:9" ht="15.75" customHeight="1" x14ac:dyDescent="0.25"/>
    <row r="305" spans="2:9" ht="15.75" customHeight="1" x14ac:dyDescent="0.25"/>
    <row r="306" spans="2:9" ht="15.75" customHeight="1" x14ac:dyDescent="0.25"/>
    <row r="307" spans="2:9" ht="15.75" customHeight="1" x14ac:dyDescent="0.25">
      <c r="B307" s="43" t="s">
        <v>29</v>
      </c>
      <c r="C307" s="43"/>
      <c r="D307" s="43"/>
      <c r="E307" s="43"/>
      <c r="F307" s="43"/>
      <c r="G307" s="43"/>
    </row>
    <row r="308" spans="2:9" ht="15.75" customHeight="1" x14ac:dyDescent="0.25">
      <c r="B308" s="43"/>
      <c r="C308" s="43"/>
      <c r="D308" s="43"/>
      <c r="E308" s="43"/>
      <c r="F308" s="43"/>
      <c r="G308" s="43"/>
    </row>
    <row r="309" spans="2:9" ht="15.75" customHeight="1" x14ac:dyDescent="0.25">
      <c r="B309" s="43"/>
      <c r="C309" s="43"/>
      <c r="D309" s="43"/>
      <c r="E309" s="43"/>
      <c r="F309" s="43"/>
      <c r="G309" s="43"/>
    </row>
    <row r="310" spans="2:9" ht="15.75" customHeight="1" x14ac:dyDescent="0.25">
      <c r="B310" s="43"/>
      <c r="C310" s="43"/>
      <c r="D310" s="43"/>
      <c r="E310" s="43"/>
      <c r="F310" s="43"/>
      <c r="G310" s="43"/>
    </row>
    <row r="311" spans="2:9" ht="15.75" customHeight="1" x14ac:dyDescent="0.25">
      <c r="B311" s="43"/>
      <c r="C311" s="43"/>
      <c r="D311" s="43"/>
      <c r="E311" s="43"/>
      <c r="F311" s="43"/>
      <c r="G311" s="43"/>
    </row>
    <row r="312" spans="2:9" ht="15.75" customHeight="1" x14ac:dyDescent="0.25">
      <c r="B312" s="43"/>
      <c r="C312" s="43"/>
      <c r="D312" s="43"/>
      <c r="E312" s="43"/>
      <c r="F312" s="43"/>
      <c r="G312" s="43"/>
    </row>
    <row r="313" spans="2:9" ht="15.75" customHeight="1" x14ac:dyDescent="0.25">
      <c r="B313" s="43"/>
      <c r="C313" s="43"/>
      <c r="D313" s="43"/>
      <c r="E313" s="43"/>
      <c r="F313" s="43"/>
      <c r="G313" s="43"/>
    </row>
    <row r="314" spans="2:9" ht="15.75" customHeight="1" x14ac:dyDescent="0.25">
      <c r="B314" s="43"/>
      <c r="C314" s="43"/>
      <c r="D314" s="43"/>
      <c r="E314" s="43"/>
      <c r="F314" s="43"/>
      <c r="G314" s="43"/>
    </row>
    <row r="315" spans="2:9" ht="15.75" customHeight="1" x14ac:dyDescent="0.25"/>
    <row r="316" spans="2:9" ht="15.75" customHeight="1" x14ac:dyDescent="0.25"/>
    <row r="317" spans="2:9" ht="15.75" customHeight="1" x14ac:dyDescent="0.25"/>
    <row r="318" spans="2:9" ht="15.75" customHeight="1" x14ac:dyDescent="0.25"/>
    <row r="319" spans="2:9" ht="15.75" customHeight="1" x14ac:dyDescent="0.25">
      <c r="B319" s="3"/>
      <c r="C319" s="3" t="s">
        <v>17</v>
      </c>
      <c r="D319" s="3" t="s">
        <v>21</v>
      </c>
      <c r="E319" s="3" t="s">
        <v>22</v>
      </c>
      <c r="F319" s="3" t="s">
        <v>23</v>
      </c>
      <c r="G319" s="3" t="s">
        <v>24</v>
      </c>
      <c r="H319" s="3" t="s">
        <v>25</v>
      </c>
      <c r="I319" s="3" t="s">
        <v>26</v>
      </c>
    </row>
    <row r="320" spans="2:9" ht="15.75" customHeight="1" x14ac:dyDescent="0.25">
      <c r="B320" s="2" t="s">
        <v>157</v>
      </c>
      <c r="C320" s="5">
        <v>6</v>
      </c>
      <c r="D320" s="4">
        <v>1</v>
      </c>
      <c r="E320" s="4">
        <v>1</v>
      </c>
      <c r="F320" s="4">
        <v>1</v>
      </c>
      <c r="G320" s="4">
        <v>1</v>
      </c>
      <c r="H320" s="4">
        <v>2</v>
      </c>
      <c r="I320" s="6">
        <f>SUM(D320:H320)</f>
        <v>6</v>
      </c>
    </row>
    <row r="321" spans="2:9" ht="15.75" customHeight="1" x14ac:dyDescent="0.25">
      <c r="B321" s="2" t="s">
        <v>158</v>
      </c>
      <c r="C321" s="5">
        <v>4</v>
      </c>
      <c r="D321" s="4">
        <v>1</v>
      </c>
      <c r="E321" s="4">
        <v>1</v>
      </c>
      <c r="F321" s="4">
        <v>1</v>
      </c>
      <c r="G321" s="4">
        <v>1</v>
      </c>
      <c r="H321" s="4">
        <v>0</v>
      </c>
      <c r="I321" s="6">
        <f>SUM(D321:H321)</f>
        <v>4</v>
      </c>
    </row>
    <row r="322" spans="2:9" ht="15.75" customHeight="1" x14ac:dyDescent="0.25">
      <c r="B322" s="2" t="s">
        <v>159</v>
      </c>
      <c r="C322" s="5">
        <v>5</v>
      </c>
      <c r="D322" s="4">
        <v>2</v>
      </c>
      <c r="E322" s="4">
        <v>1</v>
      </c>
      <c r="F322" s="4">
        <v>1</v>
      </c>
      <c r="G322" s="4">
        <v>1</v>
      </c>
      <c r="H322" s="4">
        <v>0</v>
      </c>
      <c r="I322" s="6">
        <f>SUM(D322:H322)</f>
        <v>5</v>
      </c>
    </row>
    <row r="323" spans="2:9" ht="15.75" customHeight="1" x14ac:dyDescent="0.25">
      <c r="B323" s="2"/>
    </row>
    <row r="324" spans="2:9" ht="15.75" customHeight="1" x14ac:dyDescent="0.25"/>
    <row r="325" spans="2:9" ht="15.75" customHeight="1" x14ac:dyDescent="0.25">
      <c r="B325" s="8"/>
      <c r="C325" s="3"/>
      <c r="D325" s="3"/>
      <c r="E325" s="3"/>
      <c r="F325" s="3"/>
      <c r="G325" s="3"/>
      <c r="H325" s="3"/>
    </row>
    <row r="326" spans="2:9" ht="15.75" customHeight="1" x14ac:dyDescent="0.25"/>
    <row r="327" spans="2:9" ht="15.75" customHeight="1" x14ac:dyDescent="0.25">
      <c r="B327" s="7" t="s">
        <v>27</v>
      </c>
      <c r="C327" s="3">
        <f>SUM(C320:C322)</f>
        <v>15</v>
      </c>
      <c r="D327" s="3">
        <f>C327-SUM(D320:D322)</f>
        <v>11</v>
      </c>
      <c r="E327" s="3">
        <f>D327-SUM(E320:E322)</f>
        <v>8</v>
      </c>
      <c r="F327" s="3">
        <f>E327-SUM(F320:F322)</f>
        <v>5</v>
      </c>
      <c r="G327" s="3">
        <f>F327-SUM(G320:G322)</f>
        <v>2</v>
      </c>
      <c r="H327" s="3">
        <f>G327-SUM(H320:H322)</f>
        <v>0</v>
      </c>
    </row>
    <row r="328" spans="2:9" ht="15.75" customHeight="1" x14ac:dyDescent="0.25">
      <c r="B328" s="7" t="s">
        <v>28</v>
      </c>
      <c r="C328" s="3">
        <f>SUM(C320:C322)</f>
        <v>15</v>
      </c>
      <c r="D328" s="3">
        <f>C328-(SUM(C320:C322)/5)</f>
        <v>12</v>
      </c>
      <c r="E328" s="3">
        <f>D328-(SUM(D320:D322)/5)</f>
        <v>11.2</v>
      </c>
      <c r="F328" s="3">
        <f>E328-(SUM(E320:E322)/5)</f>
        <v>10.6</v>
      </c>
      <c r="G328" s="3">
        <f>F328-(SUM(F320:F322)/5)</f>
        <v>10</v>
      </c>
      <c r="H328" s="3">
        <f>G328-(SUM(G320:G322)/5)</f>
        <v>9.4</v>
      </c>
    </row>
    <row r="329" spans="2:9" ht="15.75" customHeight="1" x14ac:dyDescent="0.25"/>
    <row r="330" spans="2:9" ht="15.75" customHeight="1" x14ac:dyDescent="0.25"/>
    <row r="331" spans="2:9" ht="15.75" customHeight="1" x14ac:dyDescent="0.25"/>
    <row r="332" spans="2:9" ht="15.75" customHeight="1" x14ac:dyDescent="0.25">
      <c r="B332" s="43" t="s">
        <v>29</v>
      </c>
      <c r="C332" s="43"/>
      <c r="D332" s="43"/>
      <c r="E332" s="43"/>
      <c r="F332" s="43"/>
      <c r="G332" s="43"/>
    </row>
    <row r="333" spans="2:9" ht="15.75" customHeight="1" x14ac:dyDescent="0.25">
      <c r="B333" s="43"/>
      <c r="C333" s="43"/>
      <c r="D333" s="43"/>
      <c r="E333" s="43"/>
      <c r="F333" s="43"/>
      <c r="G333" s="43"/>
    </row>
    <row r="334" spans="2:9" ht="15.75" customHeight="1" x14ac:dyDescent="0.25">
      <c r="B334" s="43"/>
      <c r="C334" s="43"/>
      <c r="D334" s="43"/>
      <c r="E334" s="43"/>
      <c r="F334" s="43"/>
      <c r="G334" s="43"/>
    </row>
    <row r="335" spans="2:9" ht="15.75" customHeight="1" x14ac:dyDescent="0.25">
      <c r="B335" s="43"/>
      <c r="C335" s="43"/>
      <c r="D335" s="43"/>
      <c r="E335" s="43"/>
      <c r="F335" s="43"/>
      <c r="G335" s="43"/>
    </row>
    <row r="336" spans="2:9" ht="15.75" customHeight="1" x14ac:dyDescent="0.25">
      <c r="B336" s="43"/>
      <c r="C336" s="43"/>
      <c r="D336" s="43"/>
      <c r="E336" s="43"/>
      <c r="F336" s="43"/>
      <c r="G336" s="43"/>
    </row>
    <row r="337" spans="2:7" ht="15.75" customHeight="1" x14ac:dyDescent="0.25">
      <c r="B337" s="43"/>
      <c r="C337" s="43"/>
      <c r="D337" s="43"/>
      <c r="E337" s="43"/>
      <c r="F337" s="43"/>
      <c r="G337" s="43"/>
    </row>
    <row r="338" spans="2:7" ht="15.75" customHeight="1" x14ac:dyDescent="0.25">
      <c r="B338" s="43"/>
      <c r="C338" s="43"/>
      <c r="D338" s="43"/>
      <c r="E338" s="43"/>
      <c r="F338" s="43"/>
      <c r="G338" s="43"/>
    </row>
    <row r="339" spans="2:7" ht="15.75" customHeight="1" x14ac:dyDescent="0.25">
      <c r="B339" s="43"/>
      <c r="C339" s="43"/>
      <c r="D339" s="43"/>
      <c r="E339" s="43"/>
      <c r="F339" s="43"/>
      <c r="G339" s="43"/>
    </row>
    <row r="340" spans="2:7" ht="15.75" customHeight="1" x14ac:dyDescent="0.25"/>
    <row r="341" spans="2:7" ht="15.75" customHeight="1" x14ac:dyDescent="0.25"/>
    <row r="342" spans="2:7" ht="15.75" customHeight="1" x14ac:dyDescent="0.25"/>
    <row r="343" spans="2:7" ht="15.75" customHeight="1" x14ac:dyDescent="0.25"/>
    <row r="344" spans="2:7" ht="15.75" customHeight="1" x14ac:dyDescent="0.25"/>
    <row r="345" spans="2:7" ht="15.75" customHeight="1" x14ac:dyDescent="0.25"/>
    <row r="346" spans="2:7" ht="15.75" customHeight="1" x14ac:dyDescent="0.25"/>
    <row r="347" spans="2:7" ht="15.75" customHeight="1" x14ac:dyDescent="0.25"/>
    <row r="348" spans="2:7" ht="15.75" customHeight="1" x14ac:dyDescent="0.25"/>
    <row r="349" spans="2:7" ht="15.75" customHeight="1" x14ac:dyDescent="0.25"/>
    <row r="350" spans="2:7" ht="15.75" customHeight="1" x14ac:dyDescent="0.25"/>
    <row r="351" spans="2:7" ht="15.75" customHeight="1" x14ac:dyDescent="0.25"/>
    <row r="352" spans="2:7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</sheetData>
  <mergeCells count="13">
    <mergeCell ref="B307:G314"/>
    <mergeCell ref="B332:G339"/>
    <mergeCell ref="B206:G213"/>
    <mergeCell ref="B232:G239"/>
    <mergeCell ref="B256:G263"/>
    <mergeCell ref="B282:G289"/>
    <mergeCell ref="B178:G185"/>
    <mergeCell ref="B154:G161"/>
    <mergeCell ref="B106:G113"/>
    <mergeCell ref="B16:G23"/>
    <mergeCell ref="B43:G50"/>
    <mergeCell ref="B74:G81"/>
    <mergeCell ref="B130:G137"/>
  </mergeCells>
  <phoneticPr fontId="4" type="noConversion"/>
  <pageMargins left="0.7" right="0.7" top="0.75" bottom="0.75" header="0" footer="0"/>
  <pageSetup orientation="landscape"/>
  <drawing r:id="rId1"/>
  <tableParts count="1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sprint0</vt:lpstr>
      <vt:lpstr>Backlog</vt:lpstr>
      <vt:lpstr>sprint1</vt:lpstr>
      <vt:lpstr>sprint2</vt:lpstr>
      <vt:lpstr>sprint3</vt:lpstr>
      <vt:lpstr>sprint4</vt:lpstr>
      <vt:lpstr>burdonchart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Kevin Andrès Cañola Marquez</cp:lastModifiedBy>
  <dcterms:created xsi:type="dcterms:W3CDTF">2023-06-05T13:12:31Z</dcterms:created>
  <dcterms:modified xsi:type="dcterms:W3CDTF">2026-01-31T18:59:53Z</dcterms:modified>
</cp:coreProperties>
</file>