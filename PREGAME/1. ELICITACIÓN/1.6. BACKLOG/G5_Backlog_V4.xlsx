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a1e79e0bd8ceb01f/Escritorio/KEVIN/UNIVERSIDAD ESPE/6 SEMESTRE/PROGRAACION/"/>
    </mc:Choice>
  </mc:AlternateContent>
  <xr:revisionPtr revIDLastSave="138" documentId="8_{A5A36AD6-EF9B-42E9-A0DA-BF65764D98F5}" xr6:coauthVersionLast="47" xr6:coauthVersionMax="47" xr10:uidLastSave="{504F2DC7-D285-4AF7-82A8-973BE57404B7}"/>
  <bookViews>
    <workbookView xWindow="-108" yWindow="-108" windowWidth="23256" windowHeight="12456" activeTab="4" xr2:uid="{00000000-000D-0000-FFFF-FFFF00000000}"/>
  </bookViews>
  <sheets>
    <sheet name="Backlog" sheetId="1" r:id="rId1"/>
    <sheet name="sprint0" sheetId="2" r:id="rId2"/>
    <sheet name="sprint1" sheetId="4" r:id="rId3"/>
    <sheet name="sprint2" sheetId="5" r:id="rId4"/>
    <sheet name="sprint3" sheetId="6" r:id="rId5"/>
    <sheet name="burdonchart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umbVZyOcx52yre52oR6StKY4AhwVaEfQZSgxcWGFbfY="/>
    </ext>
  </extLst>
</workbook>
</file>

<file path=xl/calcChain.xml><?xml version="1.0" encoding="utf-8"?>
<calcChain xmlns="http://schemas.openxmlformats.org/spreadsheetml/2006/main">
  <c r="C152" i="3" l="1"/>
  <c r="D152" i="3" s="1"/>
  <c r="E152" i="3" s="1"/>
  <c r="F152" i="3" s="1"/>
  <c r="G152" i="3" s="1"/>
  <c r="H152" i="3" s="1"/>
  <c r="C151" i="3"/>
  <c r="D151" i="3" s="1"/>
  <c r="E151" i="3" s="1"/>
  <c r="F151" i="3" s="1"/>
  <c r="G151" i="3" s="1"/>
  <c r="H151" i="3" s="1"/>
  <c r="I146" i="3"/>
  <c r="I145" i="3"/>
  <c r="I144" i="3"/>
  <c r="C128" i="3"/>
  <c r="D128" i="3" s="1"/>
  <c r="E128" i="3" s="1"/>
  <c r="F128" i="3" s="1"/>
  <c r="G128" i="3" s="1"/>
  <c r="H128" i="3" s="1"/>
  <c r="C127" i="3"/>
  <c r="D127" i="3" s="1"/>
  <c r="E127" i="3" s="1"/>
  <c r="F127" i="3" s="1"/>
  <c r="G127" i="3" s="1"/>
  <c r="H127" i="3" s="1"/>
  <c r="I122" i="3"/>
  <c r="I121" i="3"/>
  <c r="I120" i="3"/>
  <c r="C71" i="3"/>
  <c r="D71" i="3" s="1"/>
  <c r="C104" i="3"/>
  <c r="D104" i="3" s="1"/>
  <c r="E104" i="3" s="1"/>
  <c r="F104" i="3" s="1"/>
  <c r="G104" i="3" s="1"/>
  <c r="H104" i="3" s="1"/>
  <c r="C103" i="3"/>
  <c r="D103" i="3" s="1"/>
  <c r="E103" i="3" s="1"/>
  <c r="F103" i="3" s="1"/>
  <c r="G103" i="3" s="1"/>
  <c r="H103" i="3" s="1"/>
  <c r="C72" i="3"/>
  <c r="D72" i="3" s="1"/>
  <c r="E72" i="3" s="1"/>
  <c r="F72" i="3" s="1"/>
  <c r="G72" i="3" s="1"/>
  <c r="H72" i="3" s="1"/>
  <c r="C41" i="3"/>
  <c r="D41" i="3" s="1"/>
  <c r="E41" i="3" s="1"/>
  <c r="F41" i="3" s="1"/>
  <c r="G41" i="3" s="1"/>
  <c r="H41" i="3" s="1"/>
  <c r="C40" i="3"/>
  <c r="D40" i="3" s="1"/>
  <c r="E40" i="3" s="1"/>
  <c r="F40" i="3" s="1"/>
  <c r="G40" i="3" s="1"/>
  <c r="H40" i="3" s="1"/>
  <c r="I36" i="3"/>
  <c r="I35" i="3"/>
  <c r="I34" i="3"/>
  <c r="I33" i="3"/>
  <c r="C12" i="3"/>
  <c r="D12" i="3" s="1"/>
  <c r="E12" i="3" s="1"/>
  <c r="F12" i="3" s="1"/>
  <c r="G12" i="3" s="1"/>
  <c r="H12" i="3" s="1"/>
  <c r="C11" i="3"/>
  <c r="D11" i="3" s="1"/>
  <c r="E11" i="3" s="1"/>
  <c r="F11" i="3" s="1"/>
  <c r="G11" i="3" s="1"/>
  <c r="H11" i="3" s="1"/>
  <c r="I4" i="3"/>
  <c r="I96" i="3"/>
  <c r="I97" i="3"/>
  <c r="I98" i="3"/>
  <c r="I66" i="3"/>
  <c r="I64" i="3"/>
  <c r="I65" i="3"/>
  <c r="E71" i="3" l="1"/>
  <c r="F71" i="3" s="1"/>
  <c r="G71" i="3" s="1"/>
  <c r="H71" i="3" s="1"/>
</calcChain>
</file>

<file path=xl/sharedStrings.xml><?xml version="1.0" encoding="utf-8"?>
<sst xmlns="http://schemas.openxmlformats.org/spreadsheetml/2006/main" count="621" uniqueCount="101">
  <si>
    <t>t</t>
  </si>
  <si>
    <t>Tema</t>
  </si>
  <si>
    <t>Como un..</t>
  </si>
  <si>
    <t>necesito</t>
  </si>
  <si>
    <t>asi podre...</t>
  </si>
  <si>
    <t>notas</t>
  </si>
  <si>
    <t>prioridad</t>
  </si>
  <si>
    <t>estatus</t>
  </si>
  <si>
    <t>REQ001</t>
  </si>
  <si>
    <t>Alta</t>
  </si>
  <si>
    <t>ID</t>
  </si>
  <si>
    <t>Necesito</t>
  </si>
  <si>
    <t>así podre...</t>
  </si>
  <si>
    <t>Prioridad</t>
  </si>
  <si>
    <t>Status</t>
  </si>
  <si>
    <t>Tareas</t>
  </si>
  <si>
    <t>Asignado</t>
  </si>
  <si>
    <t>Estimado</t>
  </si>
  <si>
    <t>REQ001-1</t>
  </si>
  <si>
    <t>REQ001-2</t>
  </si>
  <si>
    <t>REQ001-3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</si>
  <si>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</si>
  <si>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</si>
  <si>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</si>
  <si>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</si>
  <si>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</si>
  <si>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</si>
  <si>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</si>
  <si>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</si>
  <si>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>Durante el proceso de desarrollo del producto software,CONCLUSION DEL ESFUERZO CALCULADO</t>
  </si>
  <si>
    <t>Administrador</t>
  </si>
  <si>
    <t>REQ002</t>
  </si>
  <si>
    <t>REQ003</t>
  </si>
  <si>
    <t>REQ004</t>
  </si>
  <si>
    <t>REQ002-1</t>
  </si>
  <si>
    <t>REQ002-2</t>
  </si>
  <si>
    <t>REQ002-3</t>
  </si>
  <si>
    <t>REQ003-1</t>
  </si>
  <si>
    <t>REQ003-2</t>
  </si>
  <si>
    <t>REQ003-3</t>
  </si>
  <si>
    <t>REQ004-1</t>
  </si>
  <si>
    <t>REQ004-2</t>
  </si>
  <si>
    <t>REQ004-3</t>
  </si>
  <si>
    <t>K. Cañola</t>
  </si>
  <si>
    <t>Crear una página donde se puedan gestionar los usuarios registrados.</t>
  </si>
  <si>
    <t>Asegurar que solo las personas autorizadas puedan ingresar usando una contraseña.</t>
  </si>
  <si>
    <t>Habilitar la búsqueda rápida de productos mediante su nombre o código.</t>
  </si>
  <si>
    <t>Facilitar la eliminación de productos por nombre o código de identificación.</t>
  </si>
  <si>
    <t>Ofrecer la opción de editar productos utilizando su nombre o código.</t>
  </si>
  <si>
    <t>Incorporar productos nuevos mediante nombre o código de forma eficiente.</t>
  </si>
  <si>
    <t>Ingreso por Credenciales</t>
  </si>
  <si>
    <t>Administrador/Usuario</t>
  </si>
  <si>
    <t>Ingresar al sistema</t>
  </si>
  <si>
    <t xml:space="preserve">Iniciar sesion y distinguir el perfir del usuario </t>
  </si>
  <si>
    <t>No inciado</t>
  </si>
  <si>
    <t>Registro de nuevos clientes</t>
  </si>
  <si>
    <t>Registrar en la base de datos informacion de nuevos clientes</t>
  </si>
  <si>
    <t>Optimizar tiempos de cotizaciones de pedidos</t>
  </si>
  <si>
    <t xml:space="preserve">En proceso </t>
  </si>
  <si>
    <t>M. Lugmaña</t>
  </si>
  <si>
    <t>E. Tasiguano</t>
  </si>
  <si>
    <t>C, Marcalla</t>
  </si>
  <si>
    <t>REQ002-4</t>
  </si>
  <si>
    <t>Inicio de seción</t>
  </si>
  <si>
    <t>Registro de cliente</t>
  </si>
  <si>
    <t>Busqueda de cliente</t>
  </si>
  <si>
    <t>Modificación de cliente</t>
  </si>
  <si>
    <t>Eliminación de cliente</t>
  </si>
  <si>
    <t>Proformas de cotización</t>
  </si>
  <si>
    <t>REQ005</t>
  </si>
  <si>
    <t>REQ006</t>
  </si>
  <si>
    <t>Busqueda de clientes</t>
  </si>
  <si>
    <t>Editar clientes ingresados</t>
  </si>
  <si>
    <t>Eliminación de clientes registrados</t>
  </si>
  <si>
    <t>Generar PDF de cotizaciones</t>
  </si>
  <si>
    <t>Encontrar más rápido información de los clientes.</t>
  </si>
  <si>
    <t>Modificar datos personales del clientes cuando sea necessario.</t>
  </si>
  <si>
    <t>Borrar datos de los clientes definitivamente.</t>
  </si>
  <si>
    <t>Establecer apartado de administrador</t>
  </si>
  <si>
    <t>Crear el formulario de datos personales del cliente.</t>
  </si>
  <si>
    <t>Crear formulario de información adicional</t>
  </si>
  <si>
    <t>Validación de datos</t>
  </si>
  <si>
    <t>Registrar cliente en base de datos</t>
  </si>
  <si>
    <t>Mostrar resultados detallados con acceso rápido al perfil del cliente.</t>
  </si>
  <si>
    <t>REQ005-1</t>
  </si>
  <si>
    <t>REQ005-2</t>
  </si>
  <si>
    <t>REQ005-3</t>
  </si>
  <si>
    <t>Implementar búsqueda de clientes por nombre o apellido.</t>
  </si>
  <si>
    <t>Permitir búsqueda por número de identificación o teléfono.</t>
  </si>
  <si>
    <t>Mostrar una vista previa del cliente seleccionado antes de confirmar su eliminación.</t>
  </si>
  <si>
    <t>Implementar un mecanismo de confirmación doble para evitar eliminaciones accidentales.</t>
  </si>
  <si>
    <t>REQ006-1</t>
  </si>
  <si>
    <t>REQ006-2</t>
  </si>
  <si>
    <t>REQ006-3</t>
  </si>
  <si>
    <t>Permitir crear una nueva proforma seleccionando cliente, productos o servicios, cantidades y precios.</t>
  </si>
  <si>
    <t>Generar una vista previa imprimible o descargable en PDF de la proforma.</t>
  </si>
  <si>
    <t>Registrar y almacenar el historial de proformas emitidas para cada cliente.</t>
  </si>
  <si>
    <t>Implementar validaciones para evitar duplicados o información incompleta durante la modificación.</t>
  </si>
  <si>
    <t>Permitir buscar al cliente a modificar mediante cedula.</t>
  </si>
  <si>
    <t>Habilitar la edición de datos personales como nombres, dirección, email y telefono.</t>
  </si>
  <si>
    <t>Habilitar la búsqueda de clientes por medio de cédula.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</si>
</sst>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8"/>
      <name val="Arial"/>
      <family val="2"/>
      <scheme val="minor"/>
    </font>
    <font>
      <sz val="10"/>
      <color theme="4" tint="-0.249977111117893"/>
      <name val="Arial"/>
      <family val="2"/>
      <scheme val="minor"/>
    </font>
    <font>
      <b/>
      <sz val="10"/>
      <color rgb="FF002060"/>
      <name val="Arial"/>
      <family val="2"/>
    </font>
    <font>
      <sz val="10"/>
      <color rgb="FF002060"/>
      <name val="Arial"/>
      <family val="2"/>
      <scheme val="minor"/>
    </font>
    <font>
      <sz val="10"/>
      <color rgb="FF002060"/>
      <name val="Arial"/>
      <family val="2"/>
    </font>
    <font>
      <sz val="8"/>
      <name val="Arial"/>
      <family val="2"/>
      <scheme val="minor"/>
    </font>
    <font>
      <sz val="10"/>
      <color rgb="FF0070C0"/>
      <name val="Arial"/>
      <family val="2"/>
    </font>
    <font>
      <sz val="10"/>
      <color rgb="FF0070C0"/>
      <name val="Arial"/>
      <family val="2"/>
      <scheme val="minor"/>
    </font>
    <font>
      <sz val="10"/>
      <color theme="8" tint="-0.249977111117893"/>
      <name val="Arial"/>
      <family val="2"/>
      <scheme val="minor"/>
    </font>
    <font>
      <sz val="10"/>
      <color rgb="FF0070C0"/>
      <name val="Arial Narrow"/>
      <family val="2"/>
    </font>
    <font>
      <sz val="10"/>
      <color rgb="FF0070C0"/>
      <name val="Arial"/>
      <family val="2"/>
      <scheme val="minor"/>
    </font>
    <font>
      <b/>
      <sz val="10"/>
      <color rgb="FF0070C0"/>
      <name val="Arial"/>
      <family val="2"/>
    </font>
    <font>
      <sz val="11"/>
      <color rgb="FF0070C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59999389629810485"/>
        <bgColor theme="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1" xfId="0" applyFont="1" applyFill="1" applyBorder="1" applyAlignment="1">
      <alignment horizontal="right"/>
    </xf>
    <xf numFmtId="0" fontId="3" fillId="3" borderId="1" xfId="0" applyFont="1" applyFill="1" applyBorder="1" applyAlignment="1">
      <alignment horizontal="right"/>
    </xf>
    <xf numFmtId="0" fontId="3" fillId="4" borderId="1" xfId="0" applyFont="1" applyFill="1" applyBorder="1"/>
    <xf numFmtId="0" fontId="3" fillId="0" borderId="1" xfId="0" applyFont="1" applyBorder="1"/>
    <xf numFmtId="0" fontId="8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5" borderId="0" xfId="0" applyFont="1" applyFill="1"/>
    <xf numFmtId="0" fontId="11" fillId="5" borderId="0" xfId="0" applyFont="1" applyFill="1"/>
    <xf numFmtId="0" fontId="10" fillId="0" borderId="2" xfId="0" applyFont="1" applyBorder="1"/>
    <xf numFmtId="0" fontId="13" fillId="6" borderId="2" xfId="0" applyFont="1" applyFill="1" applyBorder="1" applyAlignment="1">
      <alignment horizontal="center" vertical="center" wrapText="1"/>
    </xf>
    <xf numFmtId="0" fontId="11" fillId="0" borderId="2" xfId="0" applyFont="1" applyBorder="1"/>
    <xf numFmtId="0" fontId="14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/>
    </xf>
    <xf numFmtId="0" fontId="10" fillId="5" borderId="2" xfId="0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1" fillId="5" borderId="2" xfId="0" applyFont="1" applyFill="1" applyBorder="1"/>
    <xf numFmtId="0" fontId="14" fillId="5" borderId="2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left"/>
    </xf>
    <xf numFmtId="0" fontId="15" fillId="0" borderId="0" xfId="0" applyFont="1"/>
    <xf numFmtId="0" fontId="16" fillId="0" borderId="0" xfId="0" applyFont="1" applyAlignment="1">
      <alignment horizontal="center" vertical="top"/>
    </xf>
    <xf numFmtId="0" fontId="10" fillId="0" borderId="1" xfId="0" applyFont="1" applyBorder="1" applyAlignment="1">
      <alignment horizontal="right"/>
    </xf>
    <xf numFmtId="0" fontId="14" fillId="0" borderId="0" xfId="0" applyFont="1"/>
    <xf numFmtId="0" fontId="16" fillId="0" borderId="1" xfId="0" applyFont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5" fillId="0" borderId="0" xfId="0" applyFont="1" applyAlignment="1">
      <alignment horizontal="left" vertical="center" wrapText="1"/>
    </xf>
  </cellXfs>
  <cellStyles count="1">
    <cellStyle name="Normal" xfId="0" builtinId="0"/>
  </cellStyles>
  <dxfs count="3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burdonchart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burdonchart!$B$40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burdonchart!$C$40:$H$40</c:f>
              <c:numCache>
                <c:formatCode>General</c:formatCode>
                <c:ptCount val="6"/>
                <c:pt idx="0">
                  <c:v>18</c:v>
                </c:pt>
                <c:pt idx="1">
                  <c:v>14</c:v>
                </c:pt>
                <c:pt idx="2">
                  <c:v>8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55-4E2E-8A09-71B2DBEE7386}"/>
            </c:ext>
          </c:extLst>
        </c:ser>
        <c:ser>
          <c:idx val="1"/>
          <c:order val="1"/>
          <c:tx>
            <c:strRef>
              <c:f>burdonchart!$B$41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burdonchart!$C$41:$H$41</c:f>
              <c:numCache>
                <c:formatCode>General</c:formatCode>
                <c:ptCount val="6"/>
                <c:pt idx="0">
                  <c:v>18</c:v>
                </c:pt>
                <c:pt idx="1">
                  <c:v>14.4</c:v>
                </c:pt>
                <c:pt idx="2">
                  <c:v>13.6</c:v>
                </c:pt>
                <c:pt idx="3">
                  <c:v>12.4</c:v>
                </c:pt>
                <c:pt idx="4">
                  <c:v>11.4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55-4E2E-8A09-71B2DBEE73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547519"/>
        <c:axId val="1023548959"/>
      </c:lineChart>
      <c:catAx>
        <c:axId val="10235475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023548959"/>
        <c:crosses val="autoZero"/>
        <c:auto val="1"/>
        <c:lblAlgn val="ctr"/>
        <c:lblOffset val="100"/>
        <c:noMultiLvlLbl val="0"/>
      </c:catAx>
      <c:valAx>
        <c:axId val="102354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023547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burdonchart!$B$71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burdonchart!$C$71:$H$71</c:f>
              <c:numCache>
                <c:formatCode>General</c:formatCode>
                <c:ptCount val="6"/>
                <c:pt idx="0">
                  <c:v>15</c:v>
                </c:pt>
                <c:pt idx="1">
                  <c:v>11</c:v>
                </c:pt>
                <c:pt idx="2">
                  <c:v>7</c:v>
                </c:pt>
                <c:pt idx="3">
                  <c:v>4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23-412A-959C-F17E1F93D1E2}"/>
            </c:ext>
          </c:extLst>
        </c:ser>
        <c:ser>
          <c:idx val="1"/>
          <c:order val="1"/>
          <c:tx>
            <c:strRef>
              <c:f>burdonchart!$B$72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burdonchart!$C$72:$H$72</c:f>
              <c:numCache>
                <c:formatCode>General</c:formatCode>
                <c:ptCount val="6"/>
                <c:pt idx="0">
                  <c:v>15</c:v>
                </c:pt>
                <c:pt idx="1">
                  <c:v>12</c:v>
                </c:pt>
                <c:pt idx="2">
                  <c:v>11.2</c:v>
                </c:pt>
                <c:pt idx="3">
                  <c:v>10.399999999999999</c:v>
                </c:pt>
                <c:pt idx="4">
                  <c:v>9.7999999999999989</c:v>
                </c:pt>
                <c:pt idx="5">
                  <c:v>9.3999999999999986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23-412A-959C-F17E1F93D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65382543"/>
        <c:axId val="1565383023"/>
      </c:lineChart>
      <c:catAx>
        <c:axId val="15653825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565383023"/>
        <c:crosses val="autoZero"/>
        <c:auto val="1"/>
        <c:lblAlgn val="ctr"/>
        <c:lblOffset val="100"/>
        <c:noMultiLvlLbl val="0"/>
      </c:catAx>
      <c:valAx>
        <c:axId val="156538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565382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burdonchart!$B$103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burdonchart!$C$103:$H$103</c:f>
              <c:numCache>
                <c:formatCode>General</c:formatCode>
                <c:ptCount val="6"/>
                <c:pt idx="0">
                  <c:v>15</c:v>
                </c:pt>
                <c:pt idx="1">
                  <c:v>11</c:v>
                </c:pt>
                <c:pt idx="2">
                  <c:v>8</c:v>
                </c:pt>
                <c:pt idx="3">
                  <c:v>5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A9-4F2D-9AF4-245A3D722AEB}"/>
            </c:ext>
          </c:extLst>
        </c:ser>
        <c:ser>
          <c:idx val="1"/>
          <c:order val="1"/>
          <c:tx>
            <c:strRef>
              <c:f>burdonchart!$B$104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burdonchart!$C$104:$H$104</c:f>
              <c:numCache>
                <c:formatCode>General</c:formatCode>
                <c:ptCount val="6"/>
                <c:pt idx="0">
                  <c:v>15</c:v>
                </c:pt>
                <c:pt idx="1">
                  <c:v>12</c:v>
                </c:pt>
                <c:pt idx="2">
                  <c:v>11.2</c:v>
                </c:pt>
                <c:pt idx="3">
                  <c:v>10.6</c:v>
                </c:pt>
                <c:pt idx="4">
                  <c:v>10</c:v>
                </c:pt>
                <c:pt idx="5">
                  <c:v>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A9-4F2D-9AF4-245A3D722A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903023"/>
        <c:axId val="823903503"/>
      </c:lineChart>
      <c:catAx>
        <c:axId val="823903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3903503"/>
        <c:crosses val="autoZero"/>
        <c:auto val="1"/>
        <c:lblAlgn val="ctr"/>
        <c:lblOffset val="100"/>
        <c:noMultiLvlLbl val="0"/>
      </c:catAx>
      <c:valAx>
        <c:axId val="82390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390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burdonchart!$B$40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burdonchart!$C$40:$H$40</c:f>
              <c:numCache>
                <c:formatCode>General</c:formatCode>
                <c:ptCount val="6"/>
                <c:pt idx="0">
                  <c:v>18</c:v>
                </c:pt>
                <c:pt idx="1">
                  <c:v>14</c:v>
                </c:pt>
                <c:pt idx="2">
                  <c:v>8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BC-480A-AC21-748F5FDBB6F7}"/>
            </c:ext>
          </c:extLst>
        </c:ser>
        <c:ser>
          <c:idx val="1"/>
          <c:order val="1"/>
          <c:tx>
            <c:strRef>
              <c:f>burdonchart!$B$41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burdonchart!$C$41:$H$41</c:f>
              <c:numCache>
                <c:formatCode>General</c:formatCode>
                <c:ptCount val="6"/>
                <c:pt idx="0">
                  <c:v>18</c:v>
                </c:pt>
                <c:pt idx="1">
                  <c:v>14.4</c:v>
                </c:pt>
                <c:pt idx="2">
                  <c:v>13.6</c:v>
                </c:pt>
                <c:pt idx="3">
                  <c:v>12.4</c:v>
                </c:pt>
                <c:pt idx="4">
                  <c:v>11.4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BC-480A-AC21-748F5FDBB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3547519"/>
        <c:axId val="1023548959"/>
      </c:lineChart>
      <c:catAx>
        <c:axId val="10235475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023548959"/>
        <c:crosses val="autoZero"/>
        <c:auto val="1"/>
        <c:lblAlgn val="ctr"/>
        <c:lblOffset val="100"/>
        <c:noMultiLvlLbl val="0"/>
      </c:catAx>
      <c:valAx>
        <c:axId val="1023548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023547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burdonchart!$B$103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burdonchart!$C$103:$H$103</c:f>
              <c:numCache>
                <c:formatCode>General</c:formatCode>
                <c:ptCount val="6"/>
                <c:pt idx="0">
                  <c:v>15</c:v>
                </c:pt>
                <c:pt idx="1">
                  <c:v>11</c:v>
                </c:pt>
                <c:pt idx="2">
                  <c:v>8</c:v>
                </c:pt>
                <c:pt idx="3">
                  <c:v>5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8F-4EAF-97AD-08A50D2DC69A}"/>
            </c:ext>
          </c:extLst>
        </c:ser>
        <c:ser>
          <c:idx val="1"/>
          <c:order val="1"/>
          <c:tx>
            <c:strRef>
              <c:f>burdonchart!$B$104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burdonchart!$C$104:$H$104</c:f>
              <c:numCache>
                <c:formatCode>General</c:formatCode>
                <c:ptCount val="6"/>
                <c:pt idx="0">
                  <c:v>15</c:v>
                </c:pt>
                <c:pt idx="1">
                  <c:v>12</c:v>
                </c:pt>
                <c:pt idx="2">
                  <c:v>11.2</c:v>
                </c:pt>
                <c:pt idx="3">
                  <c:v>10.6</c:v>
                </c:pt>
                <c:pt idx="4">
                  <c:v>10</c:v>
                </c:pt>
                <c:pt idx="5">
                  <c:v>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8F-4EAF-97AD-08A50D2DC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903023"/>
        <c:axId val="823903503"/>
      </c:lineChart>
      <c:catAx>
        <c:axId val="823903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3903503"/>
        <c:crosses val="autoZero"/>
        <c:auto val="1"/>
        <c:lblAlgn val="ctr"/>
        <c:lblOffset val="100"/>
        <c:noMultiLvlLbl val="0"/>
      </c:catAx>
      <c:valAx>
        <c:axId val="82390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390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burdonchart!$B$103</c:f>
              <c:strCache>
                <c:ptCount val="1"/>
                <c:pt idx="0">
                  <c:v>Horas Estimadas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burdonchart!$C$103:$H$103</c:f>
              <c:numCache>
                <c:formatCode>General</c:formatCode>
                <c:ptCount val="6"/>
                <c:pt idx="0">
                  <c:v>15</c:v>
                </c:pt>
                <c:pt idx="1">
                  <c:v>11</c:v>
                </c:pt>
                <c:pt idx="2">
                  <c:v>8</c:v>
                </c:pt>
                <c:pt idx="3">
                  <c:v>5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CC-4A8C-9E75-FDC6B21722D7}"/>
            </c:ext>
          </c:extLst>
        </c:ser>
        <c:ser>
          <c:idx val="1"/>
          <c:order val="1"/>
          <c:tx>
            <c:strRef>
              <c:f>burdonchart!$B$104</c:f>
              <c:strCache>
                <c:ptCount val="1"/>
                <c:pt idx="0">
                  <c:v>Horas Estimadas
Restantes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burdonchart!$C$104:$H$104</c:f>
              <c:numCache>
                <c:formatCode>General</c:formatCode>
                <c:ptCount val="6"/>
                <c:pt idx="0">
                  <c:v>15</c:v>
                </c:pt>
                <c:pt idx="1">
                  <c:v>12</c:v>
                </c:pt>
                <c:pt idx="2">
                  <c:v>11.2</c:v>
                </c:pt>
                <c:pt idx="3">
                  <c:v>10.6</c:v>
                </c:pt>
                <c:pt idx="4">
                  <c:v>10</c:v>
                </c:pt>
                <c:pt idx="5">
                  <c:v>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CC-4A8C-9E75-FDC6B2172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23903023"/>
        <c:axId val="823903503"/>
      </c:lineChart>
      <c:catAx>
        <c:axId val="823903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3903503"/>
        <c:crosses val="autoZero"/>
        <c:auto val="1"/>
        <c:lblAlgn val="ctr"/>
        <c:lblOffset val="100"/>
        <c:noMultiLvlLbl val="0"/>
      </c:catAx>
      <c:valAx>
        <c:axId val="82390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390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568779</xdr:colOff>
      <xdr:row>33</xdr:row>
      <xdr:rowOff>189139</xdr:rowOff>
    </xdr:from>
    <xdr:to>
      <xdr:col>15</xdr:col>
      <xdr:colOff>167368</xdr:colOff>
      <xdr:row>47</xdr:row>
      <xdr:rowOff>131989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596537</xdr:colOff>
      <xdr:row>60</xdr:row>
      <xdr:rowOff>40820</xdr:rowOff>
    </xdr:from>
    <xdr:to>
      <xdr:col>15</xdr:col>
      <xdr:colOff>162197</xdr:colOff>
      <xdr:row>73</xdr:row>
      <xdr:rowOff>183968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611233</xdr:colOff>
      <xdr:row>95</xdr:row>
      <xdr:rowOff>136071</xdr:rowOff>
    </xdr:from>
    <xdr:to>
      <xdr:col>15</xdr:col>
      <xdr:colOff>214993</xdr:colOff>
      <xdr:row>109</xdr:row>
      <xdr:rowOff>72934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</xdr:row>
      <xdr:rowOff>0</xdr:rowOff>
    </xdr:from>
    <xdr:to>
      <xdr:col>16</xdr:col>
      <xdr:colOff>428171</xdr:colOff>
      <xdr:row>16</xdr:row>
      <xdr:rowOff>146957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611233</xdr:colOff>
      <xdr:row>119</xdr:row>
      <xdr:rowOff>136071</xdr:rowOff>
    </xdr:from>
    <xdr:to>
      <xdr:col>15</xdr:col>
      <xdr:colOff>214993</xdr:colOff>
      <xdr:row>133</xdr:row>
      <xdr:rowOff>72934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DFD4C20-DFBA-494B-84C4-2F94E8BA38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611233</xdr:colOff>
      <xdr:row>143</xdr:row>
      <xdr:rowOff>136071</xdr:rowOff>
    </xdr:from>
    <xdr:to>
      <xdr:col>15</xdr:col>
      <xdr:colOff>214993</xdr:colOff>
      <xdr:row>157</xdr:row>
      <xdr:rowOff>72934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775438D-DAE0-44FE-8FDA-B59D83319C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B40221-9F47-4D96-A321-64E15A29D5A5}" name="Table_138" displayName="Table_138" ref="I64:I66" headerRowCount="0" totalsRowShown="0">
  <tableColumns count="1">
    <tableColumn id="1" xr3:uid="{39D12BE6-76AE-45D3-B9AB-374B2C3BB84D}" name="Column1">
      <calculatedColumnFormula>SUM(D64:H64)</calculatedColumnFormula>
    </tableColumn>
  </tableColumns>
  <tableStyleInfo name="burdonchar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DFB8253-D5B1-4A11-BD62-1C30036CF747}" name="Table_13811" displayName="Table_13811" ref="I96:I98" headerRowCount="0" totalsRowShown="0">
  <tableColumns count="1">
    <tableColumn id="1" xr3:uid="{F0C3D221-1910-4683-9473-FCE1F64FE72B}" name="Column1">
      <calculatedColumnFormula>SUM(D96:H96)</calculatedColumnFormula>
    </tableColumn>
  </tableColumns>
  <tableStyleInfo name="burdonchart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2F3AEB-3CFB-40D6-B188-6917669DACEC}" name="Table_134" displayName="Table_134" ref="I4:I6" headerRowCount="0" totalsRowShown="0">
  <tableColumns count="1">
    <tableColumn id="1" xr3:uid="{14459500-6CA8-4E74-88BC-49C07CBBAF27}" name="Column1">
      <calculatedColumnFormula>SUM(D4:H4)</calculatedColumnFormula>
    </tableColumn>
  </tableColumns>
  <tableStyleInfo name="burdonchart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4A62F31-DD29-4A2C-9055-4E46C152C8D2}" name="Table_1369" displayName="Table_1369" ref="I33:I36" headerRowCount="0" totalsRowShown="0">
  <tableColumns count="1">
    <tableColumn id="1" xr3:uid="{62D5555C-4162-4903-934E-0EAACBA6025E}" name="Column1">
      <calculatedColumnFormula>SUM(D33:H33)</calculatedColumnFormula>
    </tableColumn>
  </tableColumns>
  <tableStyleInfo name="burdonchart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0883C1-6A94-437A-B0FB-F4F6FB100CEE}" name="Table_138112" displayName="Table_138112" ref="I120:I122" headerRowCount="0" totalsRowShown="0">
  <tableColumns count="1">
    <tableColumn id="1" xr3:uid="{682FD11E-DED9-4B13-87C5-3CCBAB73707E}" name="Column1">
      <calculatedColumnFormula>SUM(D120:H120)</calculatedColumnFormula>
    </tableColumn>
  </tableColumns>
  <tableStyleInfo name="burdonchart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9AE4B-7DF0-4BB9-A42B-C496570CFDCE}" name="Table_138113" displayName="Table_138113" ref="I144:I146" headerRowCount="0" totalsRowShown="0">
  <tableColumns count="1">
    <tableColumn id="1" xr3:uid="{3DEC14DB-35B2-4F0A-9B29-C8F72A49456C}" name="Column1">
      <calculatedColumnFormula>SUM(D144:H144)</calculatedColumnFormula>
    </tableColumn>
  </tableColumns>
  <tableStyleInfo name="burdonchar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995"/>
  <sheetViews>
    <sheetView workbookViewId="0">
      <selection activeCell="A8" sqref="A8:H8"/>
    </sheetView>
  </sheetViews>
  <sheetFormatPr baseColWidth="10" defaultColWidth="12.5546875" defaultRowHeight="15" customHeight="1" x14ac:dyDescent="0.25"/>
  <cols>
    <col min="1" max="1" width="12.44140625" style="11" customWidth="1"/>
    <col min="2" max="2" width="36.5546875" style="11" customWidth="1"/>
    <col min="3" max="3" width="36" style="11" customWidth="1"/>
    <col min="4" max="4" width="64.44140625" style="11" customWidth="1"/>
    <col min="5" max="5" width="67.109375" style="11" customWidth="1"/>
    <col min="6" max="26" width="12.44140625" style="11" customWidth="1"/>
    <col min="27" max="16384" width="12.5546875" style="11"/>
  </cols>
  <sheetData>
    <row r="1" spans="1:8" ht="15.75" customHeight="1" x14ac:dyDescent="0.2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</row>
    <row r="2" spans="1:8" ht="15.75" customHeight="1" x14ac:dyDescent="0.25">
      <c r="A2" s="12"/>
      <c r="B2" s="12"/>
      <c r="C2" s="12"/>
      <c r="D2" s="9"/>
      <c r="E2" s="9"/>
      <c r="G2" s="12"/>
      <c r="H2" s="12"/>
    </row>
    <row r="3" spans="1:8" customFormat="1" ht="15.75" customHeight="1" x14ac:dyDescent="0.25">
      <c r="A3" s="18" t="s">
        <v>8</v>
      </c>
      <c r="B3" s="19" t="s">
        <v>63</v>
      </c>
      <c r="C3" s="18" t="s">
        <v>30</v>
      </c>
      <c r="D3" s="18" t="s">
        <v>52</v>
      </c>
      <c r="E3" s="18" t="s">
        <v>53</v>
      </c>
      <c r="F3" s="20"/>
      <c r="G3" s="18" t="s">
        <v>9</v>
      </c>
      <c r="H3" s="18" t="s">
        <v>54</v>
      </c>
    </row>
    <row r="4" spans="1:8" customFormat="1" ht="15.75" customHeight="1" x14ac:dyDescent="0.25">
      <c r="A4" s="18" t="s">
        <v>31</v>
      </c>
      <c r="B4" s="19" t="s">
        <v>64</v>
      </c>
      <c r="C4" s="18" t="s">
        <v>30</v>
      </c>
      <c r="D4" s="18" t="s">
        <v>55</v>
      </c>
      <c r="E4" s="18" t="s">
        <v>56</v>
      </c>
      <c r="F4" s="18"/>
      <c r="G4" s="18" t="s">
        <v>9</v>
      </c>
      <c r="H4" s="18" t="s">
        <v>54</v>
      </c>
    </row>
    <row r="5" spans="1:8" customFormat="1" ht="15.75" customHeight="1" x14ac:dyDescent="0.25">
      <c r="A5" s="18" t="s">
        <v>32</v>
      </c>
      <c r="B5" s="19" t="s">
        <v>65</v>
      </c>
      <c r="C5" s="18" t="s">
        <v>30</v>
      </c>
      <c r="D5" s="18" t="s">
        <v>71</v>
      </c>
      <c r="E5" s="18" t="s">
        <v>75</v>
      </c>
      <c r="F5" s="20"/>
      <c r="G5" s="18" t="s">
        <v>9</v>
      </c>
      <c r="H5" s="18" t="s">
        <v>54</v>
      </c>
    </row>
    <row r="6" spans="1:8" customFormat="1" ht="15.75" customHeight="1" x14ac:dyDescent="0.25">
      <c r="A6" s="18" t="s">
        <v>33</v>
      </c>
      <c r="B6" s="19" t="s">
        <v>66</v>
      </c>
      <c r="C6" s="18" t="s">
        <v>30</v>
      </c>
      <c r="D6" s="18" t="s">
        <v>72</v>
      </c>
      <c r="E6" s="18" t="s">
        <v>76</v>
      </c>
      <c r="F6" s="20"/>
      <c r="G6" s="18" t="s">
        <v>9</v>
      </c>
      <c r="H6" s="18" t="s">
        <v>54</v>
      </c>
    </row>
    <row r="7" spans="1:8" s="15" customFormat="1" ht="14.1" customHeight="1" x14ac:dyDescent="0.25">
      <c r="A7" s="18" t="s">
        <v>69</v>
      </c>
      <c r="B7" s="21" t="s">
        <v>67</v>
      </c>
      <c r="C7" s="18" t="s">
        <v>30</v>
      </c>
      <c r="D7" s="18" t="s">
        <v>73</v>
      </c>
      <c r="E7" s="18" t="s">
        <v>77</v>
      </c>
      <c r="F7" s="20"/>
      <c r="G7" s="18" t="s">
        <v>9</v>
      </c>
      <c r="H7" s="18" t="s">
        <v>54</v>
      </c>
    </row>
    <row r="8" spans="1:8" ht="15.75" customHeight="1" x14ac:dyDescent="0.25">
      <c r="A8" s="18" t="s">
        <v>70</v>
      </c>
      <c r="B8" s="19" t="s">
        <v>68</v>
      </c>
      <c r="C8" s="18" t="s">
        <v>30</v>
      </c>
      <c r="D8" s="22" t="s">
        <v>74</v>
      </c>
      <c r="E8" s="18" t="s">
        <v>57</v>
      </c>
      <c r="F8" s="22"/>
      <c r="G8" s="18" t="s">
        <v>9</v>
      </c>
      <c r="H8" s="18" t="s">
        <v>54</v>
      </c>
    </row>
    <row r="9" spans="1:8" ht="15.75" customHeight="1" x14ac:dyDescent="0.25"/>
    <row r="10" spans="1:8" ht="15.75" customHeight="1" x14ac:dyDescent="0.25"/>
    <row r="11" spans="1:8" ht="15.75" customHeight="1" x14ac:dyDescent="0.25"/>
    <row r="12" spans="1:8" ht="15.75" customHeight="1" x14ac:dyDescent="0.25"/>
    <row r="13" spans="1:8" ht="15.75" customHeight="1" x14ac:dyDescent="0.25"/>
    <row r="14" spans="1:8" ht="15.75" customHeight="1" x14ac:dyDescent="0.25"/>
    <row r="15" spans="1:8" ht="15.75" customHeight="1" x14ac:dyDescent="0.25"/>
    <row r="16" spans="1: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</sheetData>
  <phoneticPr fontId="9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I953"/>
  <sheetViews>
    <sheetView zoomScaleNormal="100" workbookViewId="0">
      <selection activeCell="E42" sqref="E42"/>
    </sheetView>
  </sheetViews>
  <sheetFormatPr baseColWidth="10" defaultColWidth="12.5546875" defaultRowHeight="15" customHeight="1" x14ac:dyDescent="0.25"/>
  <cols>
    <col min="1" max="2" width="12.44140625" customWidth="1"/>
    <col min="3" max="3" width="69.109375" customWidth="1"/>
    <col min="4" max="4" width="26.44140625" customWidth="1"/>
    <col min="5" max="5" width="45.109375" customWidth="1"/>
    <col min="6" max="6" width="62.109375" customWidth="1"/>
    <col min="7" max="26" width="12.44140625" customWidth="1"/>
  </cols>
  <sheetData>
    <row r="1" spans="2:9" ht="15.75" customHeight="1" x14ac:dyDescent="0.25"/>
    <row r="2" spans="2:9" ht="15.75" customHeight="1" x14ac:dyDescent="0.25"/>
    <row r="3" spans="2:9" ht="15.75" customHeight="1" x14ac:dyDescent="0.25">
      <c r="B3" s="1" t="s">
        <v>10</v>
      </c>
      <c r="C3" s="1" t="s">
        <v>1</v>
      </c>
      <c r="D3" s="1" t="s">
        <v>2</v>
      </c>
      <c r="E3" s="1" t="s">
        <v>11</v>
      </c>
      <c r="F3" s="1" t="s">
        <v>12</v>
      </c>
      <c r="G3" s="1" t="s">
        <v>5</v>
      </c>
      <c r="H3" s="1" t="s">
        <v>13</v>
      </c>
      <c r="I3" s="1" t="s">
        <v>14</v>
      </c>
    </row>
    <row r="4" spans="2:9" s="14" customFormat="1" ht="15.75" customHeight="1" x14ac:dyDescent="0.25">
      <c r="B4" s="16" t="s">
        <v>8</v>
      </c>
      <c r="C4" s="16" t="s">
        <v>50</v>
      </c>
      <c r="D4" s="16" t="s">
        <v>51</v>
      </c>
      <c r="E4" s="16" t="s">
        <v>52</v>
      </c>
      <c r="F4" s="16" t="s">
        <v>53</v>
      </c>
      <c r="G4" s="17"/>
      <c r="H4" s="16" t="s">
        <v>9</v>
      </c>
      <c r="I4" s="16" t="s">
        <v>58</v>
      </c>
    </row>
    <row r="5" spans="2:9" s="14" customFormat="1" ht="15.75" customHeight="1" x14ac:dyDescent="0.25">
      <c r="B5" s="13"/>
      <c r="C5" s="28" t="s">
        <v>15</v>
      </c>
      <c r="D5" s="13"/>
      <c r="E5" s="13"/>
      <c r="F5" s="13"/>
      <c r="G5" s="28" t="s">
        <v>16</v>
      </c>
      <c r="H5" s="13"/>
      <c r="I5" s="28" t="s">
        <v>17</v>
      </c>
    </row>
    <row r="6" spans="2:9" s="31" customFormat="1" ht="15.75" customHeight="1" x14ac:dyDescent="0.25">
      <c r="B6" s="13" t="s">
        <v>18</v>
      </c>
      <c r="C6" s="33" t="s">
        <v>78</v>
      </c>
      <c r="D6" s="34"/>
      <c r="E6" s="34"/>
      <c r="F6" s="34"/>
      <c r="G6" s="32" t="s">
        <v>43</v>
      </c>
      <c r="H6" s="13"/>
      <c r="I6" s="30">
        <v>5</v>
      </c>
    </row>
    <row r="7" spans="2:9" s="31" customFormat="1" ht="15.75" customHeight="1" x14ac:dyDescent="0.25">
      <c r="B7" s="13" t="s">
        <v>19</v>
      </c>
      <c r="C7" s="33" t="s">
        <v>45</v>
      </c>
      <c r="D7" s="34"/>
      <c r="E7" s="34"/>
      <c r="F7" s="34"/>
      <c r="G7" s="32" t="s">
        <v>43</v>
      </c>
      <c r="H7" s="13"/>
      <c r="I7" s="30">
        <v>4</v>
      </c>
    </row>
    <row r="8" spans="2:9" s="14" customFormat="1" ht="15.75" customHeight="1" x14ac:dyDescent="0.25">
      <c r="B8" s="13" t="s">
        <v>20</v>
      </c>
      <c r="C8" s="33" t="s">
        <v>44</v>
      </c>
      <c r="D8" s="34"/>
      <c r="E8" s="34"/>
      <c r="F8" s="34"/>
      <c r="G8" s="32" t="s">
        <v>43</v>
      </c>
      <c r="H8" s="13"/>
      <c r="I8" s="30">
        <v>4</v>
      </c>
    </row>
    <row r="9" spans="2:9" s="14" customFormat="1" ht="15.75" customHeight="1" x14ac:dyDescent="0.25">
      <c r="B9" s="13"/>
      <c r="C9" s="13"/>
      <c r="G9" s="32"/>
      <c r="H9" s="13"/>
      <c r="I9" s="30"/>
    </row>
    <row r="10" spans="2:9" s="31" customFormat="1" ht="15.75" customHeight="1" x14ac:dyDescent="0.25">
      <c r="B10" s="23" t="s">
        <v>31</v>
      </c>
      <c r="C10" s="24" t="s">
        <v>64</v>
      </c>
      <c r="D10" s="23" t="s">
        <v>30</v>
      </c>
      <c r="E10" s="23" t="s">
        <v>55</v>
      </c>
      <c r="F10" s="23" t="s">
        <v>56</v>
      </c>
      <c r="G10" s="23"/>
      <c r="H10" s="23" t="s">
        <v>9</v>
      </c>
      <c r="I10" s="23" t="s">
        <v>54</v>
      </c>
    </row>
    <row r="11" spans="2:9" s="31" customFormat="1" ht="15.75" customHeight="1" x14ac:dyDescent="0.25">
      <c r="B11" s="13"/>
      <c r="C11" s="28" t="s">
        <v>15</v>
      </c>
      <c r="D11" s="13"/>
      <c r="E11" s="13"/>
      <c r="F11" s="13"/>
      <c r="G11" s="28" t="s">
        <v>16</v>
      </c>
      <c r="H11" s="13"/>
      <c r="I11" s="28" t="s">
        <v>17</v>
      </c>
    </row>
    <row r="12" spans="2:9" s="31" customFormat="1" ht="15.75" customHeight="1" x14ac:dyDescent="0.25">
      <c r="B12" s="13" t="s">
        <v>34</v>
      </c>
      <c r="C12" s="33" t="s">
        <v>79</v>
      </c>
      <c r="D12" s="33" t="s">
        <v>46</v>
      </c>
      <c r="E12" s="33" t="s">
        <v>46</v>
      </c>
      <c r="F12" s="33" t="s">
        <v>46</v>
      </c>
      <c r="G12" s="29" t="s">
        <v>60</v>
      </c>
      <c r="H12" s="13"/>
      <c r="I12" s="30">
        <v>6</v>
      </c>
    </row>
    <row r="13" spans="2:9" s="31" customFormat="1" ht="15.75" customHeight="1" x14ac:dyDescent="0.25">
      <c r="B13" s="13" t="s">
        <v>35</v>
      </c>
      <c r="C13" s="33" t="s">
        <v>80</v>
      </c>
      <c r="D13" s="33" t="s">
        <v>47</v>
      </c>
      <c r="E13" s="33" t="s">
        <v>47</v>
      </c>
      <c r="F13" s="33" t="s">
        <v>47</v>
      </c>
      <c r="G13" s="29" t="s">
        <v>60</v>
      </c>
      <c r="H13" s="13"/>
      <c r="I13" s="30">
        <v>4</v>
      </c>
    </row>
    <row r="14" spans="2:9" s="31" customFormat="1" ht="15.75" customHeight="1" x14ac:dyDescent="0.25">
      <c r="B14" s="13" t="s">
        <v>36</v>
      </c>
      <c r="C14" s="33" t="s">
        <v>81</v>
      </c>
      <c r="D14" s="33" t="s">
        <v>48</v>
      </c>
      <c r="E14" s="33" t="s">
        <v>48</v>
      </c>
      <c r="F14" s="33" t="s">
        <v>48</v>
      </c>
      <c r="G14" s="29" t="s">
        <v>60</v>
      </c>
      <c r="H14" s="13"/>
      <c r="I14" s="30">
        <v>5</v>
      </c>
    </row>
    <row r="15" spans="2:9" s="31" customFormat="1" ht="15.75" customHeight="1" x14ac:dyDescent="0.25">
      <c r="B15" s="13" t="s">
        <v>62</v>
      </c>
      <c r="C15" s="33" t="s">
        <v>82</v>
      </c>
      <c r="D15" s="33" t="s">
        <v>49</v>
      </c>
      <c r="E15" s="33" t="s">
        <v>49</v>
      </c>
      <c r="F15" s="33" t="s">
        <v>49</v>
      </c>
      <c r="G15" s="29" t="s">
        <v>60</v>
      </c>
      <c r="I15" s="30">
        <v>5</v>
      </c>
    </row>
    <row r="16" spans="2:9" s="31" customFormat="1" ht="15.75" customHeight="1" x14ac:dyDescent="0.25">
      <c r="B16" s="13"/>
      <c r="C16" s="13"/>
      <c r="D16" s="13"/>
      <c r="E16" s="13"/>
      <c r="F16" s="13"/>
    </row>
    <row r="17" spans="2:9" s="31" customFormat="1" ht="15.75" customHeight="1" x14ac:dyDescent="0.25">
      <c r="B17" s="23" t="s">
        <v>32</v>
      </c>
      <c r="C17" s="24" t="s">
        <v>65</v>
      </c>
      <c r="D17" s="23" t="s">
        <v>30</v>
      </c>
      <c r="E17" s="23" t="s">
        <v>71</v>
      </c>
      <c r="F17" s="23" t="s">
        <v>75</v>
      </c>
      <c r="G17" s="25"/>
      <c r="H17" s="23" t="s">
        <v>9</v>
      </c>
      <c r="I17" s="23" t="s">
        <v>54</v>
      </c>
    </row>
    <row r="18" spans="2:9" s="31" customFormat="1" ht="15.75" customHeight="1" x14ac:dyDescent="0.25">
      <c r="B18" s="13"/>
      <c r="C18" s="28" t="s">
        <v>15</v>
      </c>
      <c r="D18" s="13"/>
      <c r="E18" s="13"/>
      <c r="F18" s="13"/>
      <c r="G18" s="28" t="s">
        <v>16</v>
      </c>
      <c r="H18" s="13"/>
      <c r="I18" s="28" t="s">
        <v>17</v>
      </c>
    </row>
    <row r="19" spans="2:9" s="31" customFormat="1" ht="15.75" customHeight="1" x14ac:dyDescent="0.25">
      <c r="B19" s="13" t="s">
        <v>37</v>
      </c>
      <c r="C19" s="33" t="s">
        <v>87</v>
      </c>
      <c r="D19" s="33" t="s">
        <v>46</v>
      </c>
      <c r="E19" s="33" t="s">
        <v>46</v>
      </c>
      <c r="F19" s="33" t="s">
        <v>46</v>
      </c>
      <c r="G19" s="32" t="s">
        <v>43</v>
      </c>
      <c r="H19" s="13"/>
      <c r="I19" s="30">
        <v>4</v>
      </c>
    </row>
    <row r="20" spans="2:9" s="31" customFormat="1" ht="15.75" customHeight="1" x14ac:dyDescent="0.25">
      <c r="B20" s="13" t="s">
        <v>38</v>
      </c>
      <c r="C20" s="33" t="s">
        <v>88</v>
      </c>
      <c r="D20" s="33" t="s">
        <v>47</v>
      </c>
      <c r="E20" s="33" t="s">
        <v>47</v>
      </c>
      <c r="F20" s="33" t="s">
        <v>47</v>
      </c>
      <c r="G20" s="32" t="s">
        <v>43</v>
      </c>
      <c r="H20" s="13"/>
      <c r="I20" s="30">
        <v>4</v>
      </c>
    </row>
    <row r="21" spans="2:9" s="31" customFormat="1" ht="15.75" customHeight="1" x14ac:dyDescent="0.25">
      <c r="B21" s="13" t="s">
        <v>39</v>
      </c>
      <c r="C21" s="33" t="s">
        <v>83</v>
      </c>
      <c r="D21" s="33" t="s">
        <v>49</v>
      </c>
      <c r="E21" s="33" t="s">
        <v>49</v>
      </c>
      <c r="F21" s="33" t="s">
        <v>49</v>
      </c>
      <c r="G21" s="32" t="s">
        <v>43</v>
      </c>
      <c r="H21" s="13"/>
      <c r="I21" s="30">
        <v>3</v>
      </c>
    </row>
    <row r="22" spans="2:9" s="31" customFormat="1" ht="15.75" customHeight="1" x14ac:dyDescent="0.25">
      <c r="B22" s="13"/>
      <c r="C22" s="13"/>
      <c r="D22" s="13"/>
      <c r="E22" s="13"/>
      <c r="F22" s="13"/>
    </row>
    <row r="23" spans="2:9" s="31" customFormat="1" ht="15.75" customHeight="1" x14ac:dyDescent="0.25">
      <c r="B23" s="23" t="s">
        <v>33</v>
      </c>
      <c r="C23" s="24" t="s">
        <v>66</v>
      </c>
      <c r="D23" s="23" t="s">
        <v>30</v>
      </c>
      <c r="E23" s="23" t="s">
        <v>72</v>
      </c>
      <c r="F23" s="23" t="s">
        <v>76</v>
      </c>
      <c r="G23" s="25"/>
      <c r="H23" s="23" t="s">
        <v>9</v>
      </c>
      <c r="I23" s="23" t="s">
        <v>54</v>
      </c>
    </row>
    <row r="24" spans="2:9" s="31" customFormat="1" ht="15.75" customHeight="1" x14ac:dyDescent="0.25">
      <c r="B24" s="13"/>
      <c r="C24" s="28" t="s">
        <v>15</v>
      </c>
      <c r="D24" s="13"/>
      <c r="E24" s="13"/>
      <c r="F24" s="13"/>
      <c r="G24" s="28" t="s">
        <v>16</v>
      </c>
      <c r="H24" s="13"/>
      <c r="I24" s="28" t="s">
        <v>17</v>
      </c>
    </row>
    <row r="25" spans="2:9" s="31" customFormat="1" ht="15.75" customHeight="1" x14ac:dyDescent="0.25">
      <c r="B25" s="13" t="s">
        <v>40</v>
      </c>
      <c r="C25" s="33" t="s">
        <v>98</v>
      </c>
      <c r="D25" s="33" t="s">
        <v>46</v>
      </c>
      <c r="E25" s="33" t="s">
        <v>46</v>
      </c>
      <c r="F25" s="33" t="s">
        <v>46</v>
      </c>
      <c r="G25" s="32" t="s">
        <v>59</v>
      </c>
      <c r="H25" s="13"/>
      <c r="I25" s="30">
        <v>6</v>
      </c>
    </row>
    <row r="26" spans="2:9" s="31" customFormat="1" ht="15.75" customHeight="1" x14ac:dyDescent="0.25">
      <c r="B26" s="13" t="s">
        <v>41</v>
      </c>
      <c r="C26" s="33" t="s">
        <v>99</v>
      </c>
      <c r="D26" s="33" t="s">
        <v>47</v>
      </c>
      <c r="E26" s="33" t="s">
        <v>47</v>
      </c>
      <c r="F26" s="33" t="s">
        <v>47</v>
      </c>
      <c r="G26" s="32" t="s">
        <v>59</v>
      </c>
      <c r="H26" s="13"/>
      <c r="I26" s="30">
        <v>4</v>
      </c>
    </row>
    <row r="27" spans="2:9" s="31" customFormat="1" ht="15.75" customHeight="1" x14ac:dyDescent="0.25">
      <c r="B27" s="13" t="s">
        <v>42</v>
      </c>
      <c r="C27" s="33" t="s">
        <v>97</v>
      </c>
      <c r="D27" s="33" t="s">
        <v>48</v>
      </c>
      <c r="E27" s="33" t="s">
        <v>48</v>
      </c>
      <c r="F27" s="33" t="s">
        <v>48</v>
      </c>
      <c r="G27" s="32" t="s">
        <v>59</v>
      </c>
      <c r="H27" s="13"/>
      <c r="I27" s="30">
        <v>5</v>
      </c>
    </row>
    <row r="28" spans="2:9" s="31" customFormat="1" ht="15.75" customHeight="1" x14ac:dyDescent="0.25"/>
    <row r="29" spans="2:9" s="31" customFormat="1" ht="15.75" customHeight="1" x14ac:dyDescent="0.25">
      <c r="B29" s="23" t="s">
        <v>69</v>
      </c>
      <c r="C29" s="26" t="s">
        <v>67</v>
      </c>
      <c r="D29" s="23" t="s">
        <v>30</v>
      </c>
      <c r="E29" s="23" t="s">
        <v>73</v>
      </c>
      <c r="F29" s="23" t="s">
        <v>77</v>
      </c>
      <c r="G29" s="25"/>
      <c r="H29" s="23" t="s">
        <v>9</v>
      </c>
      <c r="I29" s="23" t="s">
        <v>54</v>
      </c>
    </row>
    <row r="30" spans="2:9" s="31" customFormat="1" ht="15.75" customHeight="1" x14ac:dyDescent="0.25"/>
    <row r="31" spans="2:9" s="31" customFormat="1" ht="15.75" customHeight="1" x14ac:dyDescent="0.25">
      <c r="B31" s="13" t="s">
        <v>84</v>
      </c>
      <c r="C31" s="14" t="s">
        <v>100</v>
      </c>
      <c r="G31" s="32" t="s">
        <v>59</v>
      </c>
      <c r="I31" s="30">
        <v>6</v>
      </c>
    </row>
    <row r="32" spans="2:9" s="31" customFormat="1" ht="15.75" customHeight="1" x14ac:dyDescent="0.25">
      <c r="B32" s="13" t="s">
        <v>85</v>
      </c>
      <c r="C32" s="14" t="s">
        <v>89</v>
      </c>
      <c r="G32" s="32" t="s">
        <v>59</v>
      </c>
      <c r="I32" s="30">
        <v>4</v>
      </c>
    </row>
    <row r="33" spans="2:9" s="31" customFormat="1" ht="15.75" customHeight="1" x14ac:dyDescent="0.25">
      <c r="B33" s="13" t="s">
        <v>86</v>
      </c>
      <c r="C33" s="14" t="s">
        <v>90</v>
      </c>
      <c r="G33" s="32" t="s">
        <v>59</v>
      </c>
      <c r="I33" s="30">
        <v>5</v>
      </c>
    </row>
    <row r="34" spans="2:9" s="31" customFormat="1" ht="15.75" customHeight="1" x14ac:dyDescent="0.25"/>
    <row r="35" spans="2:9" s="31" customFormat="1" ht="15.75" customHeight="1" x14ac:dyDescent="0.25">
      <c r="B35" s="23" t="s">
        <v>70</v>
      </c>
      <c r="C35" s="24" t="s">
        <v>68</v>
      </c>
      <c r="D35" s="23" t="s">
        <v>30</v>
      </c>
      <c r="E35" s="27" t="s">
        <v>74</v>
      </c>
      <c r="F35" s="23" t="s">
        <v>57</v>
      </c>
      <c r="G35" s="27"/>
      <c r="H35" s="23" t="s">
        <v>9</v>
      </c>
      <c r="I35" s="23" t="s">
        <v>54</v>
      </c>
    </row>
    <row r="36" spans="2:9" s="31" customFormat="1" ht="15.75" customHeight="1" x14ac:dyDescent="0.25"/>
    <row r="37" spans="2:9" s="31" customFormat="1" ht="15.75" customHeight="1" x14ac:dyDescent="0.25">
      <c r="B37" s="13" t="s">
        <v>91</v>
      </c>
      <c r="C37" s="14" t="s">
        <v>94</v>
      </c>
      <c r="G37" s="32" t="s">
        <v>61</v>
      </c>
      <c r="I37" s="30">
        <v>6</v>
      </c>
    </row>
    <row r="38" spans="2:9" s="31" customFormat="1" ht="15.75" customHeight="1" x14ac:dyDescent="0.25">
      <c r="B38" s="13" t="s">
        <v>92</v>
      </c>
      <c r="C38" s="14" t="s">
        <v>96</v>
      </c>
      <c r="G38" s="32" t="s">
        <v>61</v>
      </c>
      <c r="I38" s="30">
        <v>4</v>
      </c>
    </row>
    <row r="39" spans="2:9" s="31" customFormat="1" ht="15.75" customHeight="1" x14ac:dyDescent="0.25">
      <c r="B39" s="13" t="s">
        <v>93</v>
      </c>
      <c r="C39" s="14" t="s">
        <v>95</v>
      </c>
      <c r="G39" s="32" t="s">
        <v>61</v>
      </c>
      <c r="I39" s="30">
        <v>5</v>
      </c>
    </row>
    <row r="40" spans="2:9" ht="15.75" customHeight="1" x14ac:dyDescent="0.25"/>
    <row r="41" spans="2:9" ht="15.75" customHeight="1" x14ac:dyDescent="0.25"/>
    <row r="42" spans="2:9" ht="15.75" customHeight="1" x14ac:dyDescent="0.25"/>
    <row r="43" spans="2:9" ht="15.75" customHeight="1" x14ac:dyDescent="0.25"/>
    <row r="44" spans="2:9" ht="15.75" customHeight="1" x14ac:dyDescent="0.25"/>
    <row r="45" spans="2:9" ht="15.75" customHeight="1" x14ac:dyDescent="0.25"/>
    <row r="46" spans="2:9" ht="15.75" customHeight="1" x14ac:dyDescent="0.25"/>
    <row r="47" spans="2:9" ht="15.75" customHeight="1" x14ac:dyDescent="0.25"/>
    <row r="48" spans="2:9" ht="15.75" customHeight="1" x14ac:dyDescent="0.25"/>
    <row r="49" customFormat="1" ht="15.75" customHeight="1" x14ac:dyDescent="0.25"/>
    <row r="50" customFormat="1" ht="15.75" customHeight="1" x14ac:dyDescent="0.25"/>
    <row r="51" customFormat="1" ht="15.75" customHeight="1" x14ac:dyDescent="0.25"/>
    <row r="52" customFormat="1" ht="15.75" customHeight="1" x14ac:dyDescent="0.25"/>
    <row r="53" customFormat="1" ht="15.75" customHeight="1" x14ac:dyDescent="0.25"/>
    <row r="54" customFormat="1" ht="15.75" customHeight="1" x14ac:dyDescent="0.25"/>
    <row r="55" customFormat="1" ht="15.75" customHeight="1" x14ac:dyDescent="0.25"/>
    <row r="56" customFormat="1" ht="15.75" customHeight="1" x14ac:dyDescent="0.25"/>
    <row r="57" customFormat="1" ht="15.75" customHeight="1" x14ac:dyDescent="0.25"/>
    <row r="58" customFormat="1" ht="15.75" customHeight="1" x14ac:dyDescent="0.25"/>
    <row r="59" customFormat="1" ht="15.75" customHeight="1" x14ac:dyDescent="0.25"/>
    <row r="60" customFormat="1" ht="15.75" customHeight="1" x14ac:dyDescent="0.25"/>
    <row r="61" customFormat="1" ht="15.75" customHeight="1" x14ac:dyDescent="0.25"/>
    <row r="62" customFormat="1" ht="15.75" customHeight="1" x14ac:dyDescent="0.25"/>
    <row r="63" customFormat="1" ht="15.75" customHeight="1" x14ac:dyDescent="0.25"/>
    <row r="64" customFormat="1" ht="15.75" customHeight="1" x14ac:dyDescent="0.25"/>
    <row r="65" customFormat="1" ht="15.75" customHeight="1" x14ac:dyDescent="0.25"/>
    <row r="66" customFormat="1" ht="15.75" customHeight="1" x14ac:dyDescent="0.25"/>
    <row r="67" customFormat="1" ht="15.75" customHeight="1" x14ac:dyDescent="0.25"/>
    <row r="68" customFormat="1" ht="15.75" customHeight="1" x14ac:dyDescent="0.25"/>
    <row r="69" customFormat="1" ht="15.75" customHeight="1" x14ac:dyDescent="0.25"/>
    <row r="70" customFormat="1" ht="15.75" customHeight="1" x14ac:dyDescent="0.25"/>
    <row r="71" customFormat="1" ht="15.75" customHeight="1" x14ac:dyDescent="0.25"/>
    <row r="72" customFormat="1" ht="15.75" customHeight="1" x14ac:dyDescent="0.25"/>
    <row r="73" customFormat="1" ht="15.75" customHeight="1" x14ac:dyDescent="0.25"/>
    <row r="74" customFormat="1" ht="15.75" customHeight="1" x14ac:dyDescent="0.25"/>
    <row r="75" customFormat="1" ht="15.75" customHeight="1" x14ac:dyDescent="0.25"/>
    <row r="76" customFormat="1" ht="15.75" customHeight="1" x14ac:dyDescent="0.25"/>
    <row r="77" customFormat="1" ht="15.75" customHeight="1" x14ac:dyDescent="0.25"/>
    <row r="78" customFormat="1" ht="15.75" customHeight="1" x14ac:dyDescent="0.25"/>
    <row r="79" customFormat="1" ht="15.75" customHeight="1" x14ac:dyDescent="0.25"/>
    <row r="80" customFormat="1" ht="15.75" customHeight="1" x14ac:dyDescent="0.25"/>
    <row r="81" customFormat="1" ht="15.75" customHeight="1" x14ac:dyDescent="0.25"/>
    <row r="82" customFormat="1" ht="15.75" customHeight="1" x14ac:dyDescent="0.25"/>
    <row r="83" customFormat="1" ht="15.75" customHeight="1" x14ac:dyDescent="0.25"/>
    <row r="84" customFormat="1" ht="15.75" customHeight="1" x14ac:dyDescent="0.25"/>
    <row r="85" customFormat="1" ht="15.75" customHeight="1" x14ac:dyDescent="0.25"/>
    <row r="86" customFormat="1" ht="15.75" customHeight="1" x14ac:dyDescent="0.25"/>
    <row r="87" customFormat="1" ht="15.75" customHeight="1" x14ac:dyDescent="0.25"/>
    <row r="88" customFormat="1" ht="15.75" customHeight="1" x14ac:dyDescent="0.25"/>
    <row r="89" customFormat="1" ht="15.75" customHeight="1" x14ac:dyDescent="0.25"/>
    <row r="90" customFormat="1" ht="15.75" customHeight="1" x14ac:dyDescent="0.25"/>
    <row r="91" customFormat="1" ht="15.75" customHeight="1" x14ac:dyDescent="0.25"/>
    <row r="92" customFormat="1" ht="15.75" customHeight="1" x14ac:dyDescent="0.25"/>
    <row r="93" customFormat="1" ht="15.75" customHeight="1" x14ac:dyDescent="0.25"/>
    <row r="94" customFormat="1" ht="15.75" customHeight="1" x14ac:dyDescent="0.25"/>
    <row r="95" customFormat="1" ht="15.75" customHeight="1" x14ac:dyDescent="0.25"/>
    <row r="96" customFormat="1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</sheetData>
  <mergeCells count="13">
    <mergeCell ref="C14:F14"/>
    <mergeCell ref="C6:F6"/>
    <mergeCell ref="C7:F7"/>
    <mergeCell ref="C8:F8"/>
    <mergeCell ref="C12:F12"/>
    <mergeCell ref="C13:F13"/>
    <mergeCell ref="C15:F15"/>
    <mergeCell ref="C26:F26"/>
    <mergeCell ref="C27:F27"/>
    <mergeCell ref="C19:F19"/>
    <mergeCell ref="C20:F20"/>
    <mergeCell ref="C21:F21"/>
    <mergeCell ref="C25:F25"/>
  </mergeCells>
  <phoneticPr fontId="4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F0D6B-2C62-4D7E-A906-B8342F6467B3}">
  <dimension ref="B1:I925"/>
  <sheetViews>
    <sheetView workbookViewId="0">
      <selection activeCell="A4" sqref="A4:XFD15"/>
    </sheetView>
  </sheetViews>
  <sheetFormatPr baseColWidth="10" defaultColWidth="12.5546875" defaultRowHeight="13.2" x14ac:dyDescent="0.25"/>
  <cols>
    <col min="1" max="2" width="12.44140625" customWidth="1"/>
    <col min="3" max="3" width="69.109375" customWidth="1"/>
    <col min="4" max="4" width="26.44140625" customWidth="1"/>
    <col min="5" max="5" width="33.5546875" customWidth="1"/>
    <col min="6" max="6" width="62.109375" customWidth="1"/>
    <col min="7" max="26" width="12.44140625" customWidth="1"/>
  </cols>
  <sheetData>
    <row r="1" spans="2:9" ht="15.75" customHeight="1" x14ac:dyDescent="0.25"/>
    <row r="2" spans="2:9" ht="15.75" customHeight="1" x14ac:dyDescent="0.25"/>
    <row r="3" spans="2:9" ht="15.75" customHeight="1" x14ac:dyDescent="0.25">
      <c r="B3" s="1" t="s">
        <v>10</v>
      </c>
      <c r="C3" s="1" t="s">
        <v>1</v>
      </c>
      <c r="D3" s="1" t="s">
        <v>2</v>
      </c>
      <c r="E3" s="1" t="s">
        <v>11</v>
      </c>
      <c r="F3" s="1" t="s">
        <v>12</v>
      </c>
      <c r="G3" s="1" t="s">
        <v>5</v>
      </c>
      <c r="H3" s="1" t="s">
        <v>13</v>
      </c>
      <c r="I3" s="1" t="s">
        <v>14</v>
      </c>
    </row>
    <row r="4" spans="2:9" s="14" customFormat="1" ht="15.75" customHeight="1" x14ac:dyDescent="0.25">
      <c r="B4" s="16" t="s">
        <v>8</v>
      </c>
      <c r="C4" s="16" t="s">
        <v>50</v>
      </c>
      <c r="D4" s="16" t="s">
        <v>51</v>
      </c>
      <c r="E4" s="16" t="s">
        <v>52</v>
      </c>
      <c r="F4" s="16" t="s">
        <v>53</v>
      </c>
      <c r="G4" s="17"/>
      <c r="H4" s="16" t="s">
        <v>9</v>
      </c>
      <c r="I4" s="16" t="s">
        <v>58</v>
      </c>
    </row>
    <row r="5" spans="2:9" s="14" customFormat="1" ht="15.75" customHeight="1" x14ac:dyDescent="0.25">
      <c r="B5" s="13"/>
      <c r="C5" s="28" t="s">
        <v>15</v>
      </c>
      <c r="D5" s="13"/>
      <c r="E5" s="13"/>
      <c r="F5" s="13"/>
      <c r="G5" s="28" t="s">
        <v>16</v>
      </c>
      <c r="H5" s="13"/>
      <c r="I5" s="28" t="s">
        <v>17</v>
      </c>
    </row>
    <row r="6" spans="2:9" s="31" customFormat="1" ht="15.75" customHeight="1" x14ac:dyDescent="0.25">
      <c r="B6" s="13" t="s">
        <v>18</v>
      </c>
      <c r="C6" s="33" t="s">
        <v>78</v>
      </c>
      <c r="D6" s="34"/>
      <c r="E6" s="34"/>
      <c r="F6" s="34"/>
      <c r="G6" s="32" t="s">
        <v>43</v>
      </c>
      <c r="H6" s="13"/>
      <c r="I6" s="30">
        <v>5</v>
      </c>
    </row>
    <row r="7" spans="2:9" s="31" customFormat="1" ht="15.75" customHeight="1" x14ac:dyDescent="0.25">
      <c r="B7" s="13" t="s">
        <v>19</v>
      </c>
      <c r="C7" s="33" t="s">
        <v>45</v>
      </c>
      <c r="D7" s="34"/>
      <c r="E7" s="34"/>
      <c r="F7" s="34"/>
      <c r="G7" s="32" t="s">
        <v>43</v>
      </c>
      <c r="H7" s="13"/>
      <c r="I7" s="30">
        <v>4</v>
      </c>
    </row>
    <row r="8" spans="2:9" s="14" customFormat="1" ht="15.75" customHeight="1" x14ac:dyDescent="0.25">
      <c r="B8" s="13" t="s">
        <v>20</v>
      </c>
      <c r="C8" s="33" t="s">
        <v>44</v>
      </c>
      <c r="D8" s="34"/>
      <c r="E8" s="34"/>
      <c r="F8" s="34"/>
      <c r="G8" s="32" t="s">
        <v>43</v>
      </c>
      <c r="H8" s="13"/>
      <c r="I8" s="30">
        <v>4</v>
      </c>
    </row>
    <row r="9" spans="2:9" s="14" customFormat="1" ht="15.75" customHeight="1" x14ac:dyDescent="0.25">
      <c r="B9" s="13"/>
      <c r="C9" s="13"/>
      <c r="G9" s="32"/>
      <c r="H9" s="13"/>
      <c r="I9" s="30"/>
    </row>
    <row r="10" spans="2:9" s="31" customFormat="1" ht="15.75" customHeight="1" x14ac:dyDescent="0.25">
      <c r="B10" s="23" t="s">
        <v>31</v>
      </c>
      <c r="C10" s="24" t="s">
        <v>64</v>
      </c>
      <c r="D10" s="23" t="s">
        <v>30</v>
      </c>
      <c r="E10" s="23" t="s">
        <v>55</v>
      </c>
      <c r="F10" s="23" t="s">
        <v>56</v>
      </c>
      <c r="G10" s="23"/>
      <c r="H10" s="23" t="s">
        <v>9</v>
      </c>
      <c r="I10" s="23" t="s">
        <v>54</v>
      </c>
    </row>
    <row r="11" spans="2:9" s="31" customFormat="1" ht="15.75" customHeight="1" x14ac:dyDescent="0.25">
      <c r="B11" s="13"/>
      <c r="C11" s="28" t="s">
        <v>15</v>
      </c>
      <c r="D11" s="13"/>
      <c r="E11" s="13"/>
      <c r="F11" s="13"/>
      <c r="G11" s="28" t="s">
        <v>16</v>
      </c>
      <c r="H11" s="13"/>
      <c r="I11" s="28" t="s">
        <v>17</v>
      </c>
    </row>
    <row r="12" spans="2:9" s="31" customFormat="1" ht="15.75" customHeight="1" x14ac:dyDescent="0.25">
      <c r="B12" s="13" t="s">
        <v>34</v>
      </c>
      <c r="C12" s="33" t="s">
        <v>79</v>
      </c>
      <c r="D12" s="33" t="s">
        <v>46</v>
      </c>
      <c r="E12" s="33" t="s">
        <v>46</v>
      </c>
      <c r="F12" s="33" t="s">
        <v>46</v>
      </c>
      <c r="G12" s="29" t="s">
        <v>60</v>
      </c>
      <c r="H12" s="13"/>
      <c r="I12" s="30">
        <v>6</v>
      </c>
    </row>
    <row r="13" spans="2:9" s="31" customFormat="1" ht="15.75" customHeight="1" x14ac:dyDescent="0.25">
      <c r="B13" s="13" t="s">
        <v>35</v>
      </c>
      <c r="C13" s="33" t="s">
        <v>80</v>
      </c>
      <c r="D13" s="33" t="s">
        <v>47</v>
      </c>
      <c r="E13" s="33" t="s">
        <v>47</v>
      </c>
      <c r="F13" s="33" t="s">
        <v>47</v>
      </c>
      <c r="G13" s="29" t="s">
        <v>60</v>
      </c>
      <c r="H13" s="13"/>
      <c r="I13" s="30">
        <v>4</v>
      </c>
    </row>
    <row r="14" spans="2:9" s="31" customFormat="1" ht="15.75" customHeight="1" x14ac:dyDescent="0.25">
      <c r="B14" s="13" t="s">
        <v>36</v>
      </c>
      <c r="C14" s="33" t="s">
        <v>81</v>
      </c>
      <c r="D14" s="33" t="s">
        <v>48</v>
      </c>
      <c r="E14" s="33" t="s">
        <v>48</v>
      </c>
      <c r="F14" s="33" t="s">
        <v>48</v>
      </c>
      <c r="G14" s="29" t="s">
        <v>60</v>
      </c>
      <c r="H14" s="13"/>
      <c r="I14" s="30">
        <v>5</v>
      </c>
    </row>
    <row r="15" spans="2:9" s="31" customFormat="1" ht="15.75" customHeight="1" x14ac:dyDescent="0.25">
      <c r="B15" s="13" t="s">
        <v>62</v>
      </c>
      <c r="C15" s="33" t="s">
        <v>82</v>
      </c>
      <c r="D15" s="33" t="s">
        <v>49</v>
      </c>
      <c r="E15" s="33" t="s">
        <v>49</v>
      </c>
      <c r="F15" s="33" t="s">
        <v>49</v>
      </c>
      <c r="G15" s="29" t="s">
        <v>60</v>
      </c>
      <c r="I15" s="30">
        <v>5</v>
      </c>
    </row>
    <row r="16" spans="2: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</sheetData>
  <mergeCells count="7">
    <mergeCell ref="C14:F14"/>
    <mergeCell ref="C15:F15"/>
    <mergeCell ref="C6:F6"/>
    <mergeCell ref="C7:F7"/>
    <mergeCell ref="C8:F8"/>
    <mergeCell ref="C12:F12"/>
    <mergeCell ref="C13:F13"/>
  </mergeCells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C434A-B456-4E13-B879-0186A37C8BE5}">
  <dimension ref="B1:I942"/>
  <sheetViews>
    <sheetView workbookViewId="0">
      <selection activeCell="A4" sqref="A4:XFD15"/>
    </sheetView>
  </sheetViews>
  <sheetFormatPr baseColWidth="10" defaultColWidth="12.5546875" defaultRowHeight="13.2" x14ac:dyDescent="0.25"/>
  <cols>
    <col min="1" max="2" width="12.44140625" customWidth="1"/>
    <col min="3" max="3" width="69.109375" customWidth="1"/>
    <col min="4" max="4" width="26.44140625" customWidth="1"/>
    <col min="5" max="5" width="33.5546875" customWidth="1"/>
    <col min="6" max="6" width="62.109375" customWidth="1"/>
    <col min="7" max="26" width="12.44140625" customWidth="1"/>
  </cols>
  <sheetData>
    <row r="1" spans="2:9" ht="15.75" customHeight="1" x14ac:dyDescent="0.25"/>
    <row r="2" spans="2:9" ht="15.75" customHeight="1" x14ac:dyDescent="0.25"/>
    <row r="3" spans="2:9" ht="15.75" customHeight="1" x14ac:dyDescent="0.25">
      <c r="B3" s="1" t="s">
        <v>10</v>
      </c>
      <c r="C3" s="1" t="s">
        <v>1</v>
      </c>
      <c r="D3" s="1" t="s">
        <v>2</v>
      </c>
      <c r="E3" s="1" t="s">
        <v>11</v>
      </c>
      <c r="F3" s="1" t="s">
        <v>12</v>
      </c>
      <c r="G3" s="1" t="s">
        <v>5</v>
      </c>
      <c r="H3" s="1" t="s">
        <v>13</v>
      </c>
      <c r="I3" s="1" t="s">
        <v>14</v>
      </c>
    </row>
    <row r="4" spans="2:9" s="14" customFormat="1" ht="15.75" customHeight="1" x14ac:dyDescent="0.25">
      <c r="B4" s="16" t="s">
        <v>8</v>
      </c>
      <c r="C4" s="16" t="s">
        <v>50</v>
      </c>
      <c r="D4" s="16" t="s">
        <v>51</v>
      </c>
      <c r="E4" s="16" t="s">
        <v>52</v>
      </c>
      <c r="F4" s="16" t="s">
        <v>53</v>
      </c>
      <c r="G4" s="17"/>
      <c r="H4" s="16" t="s">
        <v>9</v>
      </c>
      <c r="I4" s="16" t="s">
        <v>58</v>
      </c>
    </row>
    <row r="5" spans="2:9" s="14" customFormat="1" ht="15.75" customHeight="1" x14ac:dyDescent="0.25">
      <c r="B5" s="13"/>
      <c r="C5" s="28" t="s">
        <v>15</v>
      </c>
      <c r="D5" s="13"/>
      <c r="E5" s="13"/>
      <c r="F5" s="13"/>
      <c r="G5" s="28" t="s">
        <v>16</v>
      </c>
      <c r="H5" s="13"/>
      <c r="I5" s="28" t="s">
        <v>17</v>
      </c>
    </row>
    <row r="6" spans="2:9" s="31" customFormat="1" ht="15.75" customHeight="1" x14ac:dyDescent="0.25">
      <c r="B6" s="13" t="s">
        <v>18</v>
      </c>
      <c r="C6" s="33" t="s">
        <v>78</v>
      </c>
      <c r="D6" s="34"/>
      <c r="E6" s="34"/>
      <c r="F6" s="34"/>
      <c r="G6" s="32" t="s">
        <v>43</v>
      </c>
      <c r="H6" s="13"/>
      <c r="I6" s="30">
        <v>5</v>
      </c>
    </row>
    <row r="7" spans="2:9" s="31" customFormat="1" ht="15.75" customHeight="1" x14ac:dyDescent="0.25">
      <c r="B7" s="13" t="s">
        <v>19</v>
      </c>
      <c r="C7" s="33" t="s">
        <v>45</v>
      </c>
      <c r="D7" s="34"/>
      <c r="E7" s="34"/>
      <c r="F7" s="34"/>
      <c r="G7" s="32" t="s">
        <v>43</v>
      </c>
      <c r="H7" s="13"/>
      <c r="I7" s="30">
        <v>4</v>
      </c>
    </row>
    <row r="8" spans="2:9" s="14" customFormat="1" ht="15.75" customHeight="1" x14ac:dyDescent="0.25">
      <c r="B8" s="13" t="s">
        <v>20</v>
      </c>
      <c r="C8" s="33" t="s">
        <v>44</v>
      </c>
      <c r="D8" s="34"/>
      <c r="E8" s="34"/>
      <c r="F8" s="34"/>
      <c r="G8" s="32" t="s">
        <v>43</v>
      </c>
      <c r="H8" s="13"/>
      <c r="I8" s="30">
        <v>4</v>
      </c>
    </row>
    <row r="9" spans="2:9" s="14" customFormat="1" ht="15.75" customHeight="1" x14ac:dyDescent="0.25">
      <c r="B9" s="13"/>
      <c r="C9" s="13"/>
      <c r="G9" s="32"/>
      <c r="H9" s="13"/>
      <c r="I9" s="30"/>
    </row>
    <row r="10" spans="2:9" s="31" customFormat="1" ht="15.75" customHeight="1" x14ac:dyDescent="0.25">
      <c r="B10" s="23" t="s">
        <v>31</v>
      </c>
      <c r="C10" s="24" t="s">
        <v>64</v>
      </c>
      <c r="D10" s="23" t="s">
        <v>30</v>
      </c>
      <c r="E10" s="23" t="s">
        <v>55</v>
      </c>
      <c r="F10" s="23" t="s">
        <v>56</v>
      </c>
      <c r="G10" s="23"/>
      <c r="H10" s="23" t="s">
        <v>9</v>
      </c>
      <c r="I10" s="23" t="s">
        <v>54</v>
      </c>
    </row>
    <row r="11" spans="2:9" s="31" customFormat="1" ht="15.75" customHeight="1" x14ac:dyDescent="0.25">
      <c r="B11" s="13"/>
      <c r="C11" s="28" t="s">
        <v>15</v>
      </c>
      <c r="D11" s="13"/>
      <c r="E11" s="13"/>
      <c r="F11" s="13"/>
      <c r="G11" s="28" t="s">
        <v>16</v>
      </c>
      <c r="H11" s="13"/>
      <c r="I11" s="28" t="s">
        <v>17</v>
      </c>
    </row>
    <row r="12" spans="2:9" s="31" customFormat="1" ht="15.75" customHeight="1" x14ac:dyDescent="0.25">
      <c r="B12" s="13" t="s">
        <v>34</v>
      </c>
      <c r="C12" s="33" t="s">
        <v>79</v>
      </c>
      <c r="D12" s="33" t="s">
        <v>46</v>
      </c>
      <c r="E12" s="33" t="s">
        <v>46</v>
      </c>
      <c r="F12" s="33" t="s">
        <v>46</v>
      </c>
      <c r="G12" s="29" t="s">
        <v>60</v>
      </c>
      <c r="H12" s="13"/>
      <c r="I12" s="30">
        <v>6</v>
      </c>
    </row>
    <row r="13" spans="2:9" s="31" customFormat="1" ht="15.75" customHeight="1" x14ac:dyDescent="0.25">
      <c r="B13" s="13" t="s">
        <v>35</v>
      </c>
      <c r="C13" s="33" t="s">
        <v>80</v>
      </c>
      <c r="D13" s="33" t="s">
        <v>47</v>
      </c>
      <c r="E13" s="33" t="s">
        <v>47</v>
      </c>
      <c r="F13" s="33" t="s">
        <v>47</v>
      </c>
      <c r="G13" s="29" t="s">
        <v>60</v>
      </c>
      <c r="H13" s="13"/>
      <c r="I13" s="30">
        <v>4</v>
      </c>
    </row>
    <row r="14" spans="2:9" s="31" customFormat="1" ht="15.75" customHeight="1" x14ac:dyDescent="0.25">
      <c r="B14" s="13" t="s">
        <v>36</v>
      </c>
      <c r="C14" s="33" t="s">
        <v>81</v>
      </c>
      <c r="D14" s="33" t="s">
        <v>48</v>
      </c>
      <c r="E14" s="33" t="s">
        <v>48</v>
      </c>
      <c r="F14" s="33" t="s">
        <v>48</v>
      </c>
      <c r="G14" s="29" t="s">
        <v>60</v>
      </c>
      <c r="H14" s="13"/>
      <c r="I14" s="30">
        <v>5</v>
      </c>
    </row>
    <row r="15" spans="2:9" s="31" customFormat="1" ht="15.75" customHeight="1" x14ac:dyDescent="0.25">
      <c r="B15" s="13" t="s">
        <v>62</v>
      </c>
      <c r="C15" s="33" t="s">
        <v>82</v>
      </c>
      <c r="D15" s="33" t="s">
        <v>49</v>
      </c>
      <c r="E15" s="33" t="s">
        <v>49</v>
      </c>
      <c r="F15" s="33" t="s">
        <v>49</v>
      </c>
      <c r="G15" s="29" t="s">
        <v>60</v>
      </c>
      <c r="I15" s="30">
        <v>5</v>
      </c>
    </row>
    <row r="16" spans="2:9" s="31" customFormat="1" ht="15.75" customHeight="1" x14ac:dyDescent="0.25">
      <c r="B16" s="13"/>
      <c r="C16" s="13"/>
      <c r="D16" s="13"/>
      <c r="E16" s="13"/>
      <c r="F16" s="13"/>
    </row>
    <row r="17" spans="2:9" s="31" customFormat="1" ht="15.75" customHeight="1" x14ac:dyDescent="0.25">
      <c r="B17" s="23" t="s">
        <v>32</v>
      </c>
      <c r="C17" s="24" t="s">
        <v>65</v>
      </c>
      <c r="D17" s="23" t="s">
        <v>30</v>
      </c>
      <c r="E17" s="23" t="s">
        <v>71</v>
      </c>
      <c r="F17" s="23" t="s">
        <v>75</v>
      </c>
      <c r="G17" s="25"/>
      <c r="H17" s="23" t="s">
        <v>9</v>
      </c>
      <c r="I17" s="23" t="s">
        <v>54</v>
      </c>
    </row>
    <row r="18" spans="2:9" s="31" customFormat="1" ht="15.75" customHeight="1" x14ac:dyDescent="0.25">
      <c r="B18" s="13"/>
      <c r="C18" s="28" t="s">
        <v>15</v>
      </c>
      <c r="D18" s="13"/>
      <c r="E18" s="13"/>
      <c r="F18" s="13"/>
      <c r="G18" s="28" t="s">
        <v>16</v>
      </c>
      <c r="H18" s="13"/>
      <c r="I18" s="28" t="s">
        <v>17</v>
      </c>
    </row>
    <row r="19" spans="2:9" s="31" customFormat="1" ht="15.75" customHeight="1" x14ac:dyDescent="0.25">
      <c r="B19" s="13" t="s">
        <v>37</v>
      </c>
      <c r="C19" s="33" t="s">
        <v>87</v>
      </c>
      <c r="D19" s="33" t="s">
        <v>46</v>
      </c>
      <c r="E19" s="33" t="s">
        <v>46</v>
      </c>
      <c r="F19" s="33" t="s">
        <v>46</v>
      </c>
      <c r="G19" s="32" t="s">
        <v>61</v>
      </c>
      <c r="H19" s="13"/>
      <c r="I19" s="30">
        <v>4</v>
      </c>
    </row>
    <row r="20" spans="2:9" s="31" customFormat="1" ht="15.75" customHeight="1" x14ac:dyDescent="0.25">
      <c r="B20" s="13" t="s">
        <v>38</v>
      </c>
      <c r="C20" s="33" t="s">
        <v>88</v>
      </c>
      <c r="D20" s="33" t="s">
        <v>47</v>
      </c>
      <c r="E20" s="33" t="s">
        <v>47</v>
      </c>
      <c r="F20" s="33" t="s">
        <v>47</v>
      </c>
      <c r="G20" s="32" t="s">
        <v>61</v>
      </c>
      <c r="H20" s="13"/>
      <c r="I20" s="30">
        <v>4</v>
      </c>
    </row>
    <row r="21" spans="2:9" s="31" customFormat="1" ht="15.75" customHeight="1" x14ac:dyDescent="0.25">
      <c r="B21" s="13" t="s">
        <v>39</v>
      </c>
      <c r="C21" s="33" t="s">
        <v>83</v>
      </c>
      <c r="D21" s="33" t="s">
        <v>49</v>
      </c>
      <c r="E21" s="33" t="s">
        <v>49</v>
      </c>
      <c r="F21" s="33" t="s">
        <v>49</v>
      </c>
      <c r="G21" s="32" t="s">
        <v>61</v>
      </c>
      <c r="H21" s="13"/>
      <c r="I21" s="30">
        <v>3</v>
      </c>
    </row>
    <row r="22" spans="2:9" s="31" customFormat="1" ht="15.75" customHeight="1" x14ac:dyDescent="0.25">
      <c r="B22" s="13"/>
      <c r="C22" s="13"/>
      <c r="D22" s="13"/>
      <c r="E22" s="13"/>
      <c r="F22" s="13"/>
    </row>
    <row r="23" spans="2:9" s="31" customFormat="1" ht="15.75" customHeight="1" x14ac:dyDescent="0.25">
      <c r="B23" s="23" t="s">
        <v>33</v>
      </c>
      <c r="C23" s="24" t="s">
        <v>66</v>
      </c>
      <c r="D23" s="23" t="s">
        <v>30</v>
      </c>
      <c r="E23" s="23" t="s">
        <v>72</v>
      </c>
      <c r="F23" s="23" t="s">
        <v>76</v>
      </c>
      <c r="G23" s="25"/>
      <c r="H23" s="23" t="s">
        <v>9</v>
      </c>
      <c r="I23" s="23" t="s">
        <v>54</v>
      </c>
    </row>
    <row r="24" spans="2:9" s="31" customFormat="1" ht="15.75" customHeight="1" x14ac:dyDescent="0.25">
      <c r="B24" s="13"/>
      <c r="C24" s="28" t="s">
        <v>15</v>
      </c>
      <c r="D24" s="13"/>
      <c r="E24" s="13"/>
      <c r="F24" s="13"/>
      <c r="G24" s="28" t="s">
        <v>16</v>
      </c>
      <c r="H24" s="13"/>
      <c r="I24" s="28" t="s">
        <v>17</v>
      </c>
    </row>
    <row r="25" spans="2:9" s="31" customFormat="1" ht="15.75" customHeight="1" x14ac:dyDescent="0.25">
      <c r="B25" s="13" t="s">
        <v>40</v>
      </c>
      <c r="C25" s="33" t="s">
        <v>98</v>
      </c>
      <c r="D25" s="33" t="s">
        <v>46</v>
      </c>
      <c r="E25" s="33" t="s">
        <v>46</v>
      </c>
      <c r="F25" s="33" t="s">
        <v>46</v>
      </c>
      <c r="G25" s="32" t="s">
        <v>59</v>
      </c>
      <c r="H25" s="13"/>
      <c r="I25" s="30">
        <v>6</v>
      </c>
    </row>
    <row r="26" spans="2:9" s="31" customFormat="1" ht="15.75" customHeight="1" x14ac:dyDescent="0.25">
      <c r="B26" s="13" t="s">
        <v>41</v>
      </c>
      <c r="C26" s="33" t="s">
        <v>99</v>
      </c>
      <c r="D26" s="33" t="s">
        <v>47</v>
      </c>
      <c r="E26" s="33" t="s">
        <v>47</v>
      </c>
      <c r="F26" s="33" t="s">
        <v>47</v>
      </c>
      <c r="G26" s="32" t="s">
        <v>59</v>
      </c>
      <c r="H26" s="13"/>
      <c r="I26" s="30">
        <v>4</v>
      </c>
    </row>
    <row r="27" spans="2:9" s="31" customFormat="1" ht="15.75" customHeight="1" x14ac:dyDescent="0.25">
      <c r="B27" s="13" t="s">
        <v>42</v>
      </c>
      <c r="C27" s="33" t="s">
        <v>97</v>
      </c>
      <c r="D27" s="33" t="s">
        <v>48</v>
      </c>
      <c r="E27" s="33" t="s">
        <v>48</v>
      </c>
      <c r="F27" s="33" t="s">
        <v>48</v>
      </c>
      <c r="G27" s="32" t="s">
        <v>59</v>
      </c>
      <c r="H27" s="13"/>
      <c r="I27" s="30">
        <v>5</v>
      </c>
    </row>
    <row r="28" spans="2:9" s="31" customFormat="1" ht="15.75" customHeight="1" x14ac:dyDescent="0.25"/>
    <row r="29" spans="2:9" s="31" customFormat="1" ht="15.75" customHeight="1" x14ac:dyDescent="0.25">
      <c r="B29" s="23" t="s">
        <v>69</v>
      </c>
      <c r="C29" s="26" t="s">
        <v>67</v>
      </c>
      <c r="D29" s="23" t="s">
        <v>30</v>
      </c>
      <c r="E29" s="23" t="s">
        <v>73</v>
      </c>
      <c r="F29" s="23" t="s">
        <v>77</v>
      </c>
      <c r="G29" s="25"/>
      <c r="H29" s="23" t="s">
        <v>9</v>
      </c>
      <c r="I29" s="23" t="s">
        <v>54</v>
      </c>
    </row>
    <row r="30" spans="2:9" s="31" customFormat="1" ht="15.75" customHeight="1" x14ac:dyDescent="0.25"/>
    <row r="31" spans="2:9" s="31" customFormat="1" ht="15.75" customHeight="1" x14ac:dyDescent="0.25">
      <c r="B31" s="13" t="s">
        <v>84</v>
      </c>
      <c r="C31" s="14" t="s">
        <v>100</v>
      </c>
      <c r="G31" s="32" t="s">
        <v>59</v>
      </c>
      <c r="I31" s="30">
        <v>6</v>
      </c>
    </row>
    <row r="32" spans="2:9" s="31" customFormat="1" ht="15.75" customHeight="1" x14ac:dyDescent="0.25">
      <c r="B32" s="13" t="s">
        <v>85</v>
      </c>
      <c r="C32" s="14" t="s">
        <v>89</v>
      </c>
      <c r="G32" s="32" t="s">
        <v>59</v>
      </c>
      <c r="I32" s="30">
        <v>4</v>
      </c>
    </row>
    <row r="33" spans="2:9" s="31" customFormat="1" ht="15.75" customHeight="1" x14ac:dyDescent="0.25">
      <c r="B33" s="13" t="s">
        <v>86</v>
      </c>
      <c r="C33" s="14" t="s">
        <v>90</v>
      </c>
      <c r="G33" s="32" t="s">
        <v>59</v>
      </c>
      <c r="I33" s="30">
        <v>5</v>
      </c>
    </row>
    <row r="34" spans="2:9" ht="15.75" customHeight="1" x14ac:dyDescent="0.25"/>
    <row r="35" spans="2:9" ht="15.75" customHeight="1" x14ac:dyDescent="0.25"/>
    <row r="36" spans="2:9" ht="15.75" customHeight="1" x14ac:dyDescent="0.25"/>
    <row r="37" spans="2:9" ht="15.75" customHeight="1" x14ac:dyDescent="0.25"/>
    <row r="38" spans="2:9" ht="15.75" customHeight="1" x14ac:dyDescent="0.25"/>
    <row r="39" spans="2:9" ht="15.75" customHeight="1" x14ac:dyDescent="0.25"/>
    <row r="40" spans="2:9" ht="15.75" customHeight="1" x14ac:dyDescent="0.25"/>
    <row r="41" spans="2:9" ht="15.75" customHeight="1" x14ac:dyDescent="0.25"/>
    <row r="42" spans="2:9" ht="15.75" customHeight="1" x14ac:dyDescent="0.25"/>
    <row r="43" spans="2:9" ht="15.75" customHeight="1" x14ac:dyDescent="0.25"/>
    <row r="44" spans="2:9" ht="15.75" customHeight="1" x14ac:dyDescent="0.25"/>
    <row r="45" spans="2:9" ht="15.75" customHeight="1" x14ac:dyDescent="0.25"/>
    <row r="46" spans="2:9" ht="15.75" customHeight="1" x14ac:dyDescent="0.25"/>
    <row r="47" spans="2:9" ht="15.75" customHeight="1" x14ac:dyDescent="0.25"/>
    <row r="48" spans="2: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</sheetData>
  <mergeCells count="13">
    <mergeCell ref="C12:F12"/>
    <mergeCell ref="C13:F13"/>
    <mergeCell ref="C14:F14"/>
    <mergeCell ref="C15:F15"/>
    <mergeCell ref="C6:F6"/>
    <mergeCell ref="C7:F7"/>
    <mergeCell ref="C8:F8"/>
    <mergeCell ref="C27:F27"/>
    <mergeCell ref="C19:F19"/>
    <mergeCell ref="C20:F20"/>
    <mergeCell ref="C21:F21"/>
    <mergeCell ref="C25:F25"/>
    <mergeCell ref="C26:F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6ABAC-B8D2-43CE-8740-4F44B207D4C4}">
  <dimension ref="B1:I953"/>
  <sheetViews>
    <sheetView tabSelected="1" workbookViewId="0">
      <selection activeCell="C17" sqref="C17"/>
    </sheetView>
  </sheetViews>
  <sheetFormatPr baseColWidth="10" defaultColWidth="12.5546875" defaultRowHeight="13.2" x14ac:dyDescent="0.25"/>
  <cols>
    <col min="1" max="2" width="12.44140625" customWidth="1"/>
    <col min="3" max="3" width="69.109375" customWidth="1"/>
    <col min="4" max="4" width="26.44140625" customWidth="1"/>
    <col min="5" max="5" width="45.109375" customWidth="1"/>
    <col min="6" max="6" width="62.109375" customWidth="1"/>
    <col min="7" max="26" width="12.44140625" customWidth="1"/>
  </cols>
  <sheetData>
    <row r="1" spans="2:9" ht="15.75" customHeight="1" x14ac:dyDescent="0.25"/>
    <row r="2" spans="2:9" ht="15.75" customHeight="1" x14ac:dyDescent="0.25"/>
    <row r="3" spans="2:9" ht="15.75" customHeight="1" x14ac:dyDescent="0.25">
      <c r="B3" s="1" t="s">
        <v>10</v>
      </c>
      <c r="C3" s="1" t="s">
        <v>1</v>
      </c>
      <c r="D3" s="1" t="s">
        <v>2</v>
      </c>
      <c r="E3" s="1" t="s">
        <v>11</v>
      </c>
      <c r="F3" s="1" t="s">
        <v>12</v>
      </c>
      <c r="G3" s="1" t="s">
        <v>5</v>
      </c>
      <c r="H3" s="1" t="s">
        <v>13</v>
      </c>
      <c r="I3" s="1" t="s">
        <v>14</v>
      </c>
    </row>
    <row r="4" spans="2:9" s="14" customFormat="1" ht="15.75" customHeight="1" x14ac:dyDescent="0.25">
      <c r="B4" s="16" t="s">
        <v>8</v>
      </c>
      <c r="C4" s="16" t="s">
        <v>50</v>
      </c>
      <c r="D4" s="16" t="s">
        <v>51</v>
      </c>
      <c r="E4" s="16" t="s">
        <v>52</v>
      </c>
      <c r="F4" s="16" t="s">
        <v>53</v>
      </c>
      <c r="G4" s="17"/>
      <c r="H4" s="16" t="s">
        <v>9</v>
      </c>
      <c r="I4" s="16" t="s">
        <v>58</v>
      </c>
    </row>
    <row r="5" spans="2:9" s="14" customFormat="1" ht="15.75" customHeight="1" x14ac:dyDescent="0.25">
      <c r="B5" s="13"/>
      <c r="C5" s="28" t="s">
        <v>15</v>
      </c>
      <c r="D5" s="13"/>
      <c r="E5" s="13"/>
      <c r="F5" s="13"/>
      <c r="G5" s="28" t="s">
        <v>16</v>
      </c>
      <c r="H5" s="13"/>
      <c r="I5" s="28" t="s">
        <v>17</v>
      </c>
    </row>
    <row r="6" spans="2:9" s="31" customFormat="1" ht="15.75" customHeight="1" x14ac:dyDescent="0.25">
      <c r="B6" s="13" t="s">
        <v>18</v>
      </c>
      <c r="C6" s="33" t="s">
        <v>78</v>
      </c>
      <c r="D6" s="34"/>
      <c r="E6" s="34"/>
      <c r="F6" s="34"/>
      <c r="G6" s="32" t="s">
        <v>43</v>
      </c>
      <c r="H6" s="13"/>
      <c r="I6" s="30">
        <v>5</v>
      </c>
    </row>
    <row r="7" spans="2:9" s="31" customFormat="1" ht="15.75" customHeight="1" x14ac:dyDescent="0.25">
      <c r="B7" s="13" t="s">
        <v>19</v>
      </c>
      <c r="C7" s="33" t="s">
        <v>45</v>
      </c>
      <c r="D7" s="34"/>
      <c r="E7" s="34"/>
      <c r="F7" s="34"/>
      <c r="G7" s="32" t="s">
        <v>43</v>
      </c>
      <c r="H7" s="13"/>
      <c r="I7" s="30">
        <v>4</v>
      </c>
    </row>
    <row r="8" spans="2:9" s="14" customFormat="1" ht="15.75" customHeight="1" x14ac:dyDescent="0.25">
      <c r="B8" s="13" t="s">
        <v>20</v>
      </c>
      <c r="C8" s="33" t="s">
        <v>44</v>
      </c>
      <c r="D8" s="34"/>
      <c r="E8" s="34"/>
      <c r="F8" s="34"/>
      <c r="G8" s="32" t="s">
        <v>43</v>
      </c>
      <c r="H8" s="13"/>
      <c r="I8" s="30">
        <v>4</v>
      </c>
    </row>
    <row r="9" spans="2:9" s="14" customFormat="1" ht="15.75" customHeight="1" x14ac:dyDescent="0.25">
      <c r="B9" s="13"/>
      <c r="C9" s="13"/>
      <c r="G9" s="32"/>
      <c r="H9" s="13"/>
      <c r="I9" s="30"/>
    </row>
    <row r="10" spans="2:9" s="31" customFormat="1" ht="15.75" customHeight="1" x14ac:dyDescent="0.25">
      <c r="B10" s="23" t="s">
        <v>31</v>
      </c>
      <c r="C10" s="24" t="s">
        <v>64</v>
      </c>
      <c r="D10" s="23" t="s">
        <v>30</v>
      </c>
      <c r="E10" s="23" t="s">
        <v>55</v>
      </c>
      <c r="F10" s="23" t="s">
        <v>56</v>
      </c>
      <c r="G10" s="23"/>
      <c r="H10" s="23" t="s">
        <v>9</v>
      </c>
      <c r="I10" s="23" t="s">
        <v>54</v>
      </c>
    </row>
    <row r="11" spans="2:9" s="31" customFormat="1" ht="15.75" customHeight="1" x14ac:dyDescent="0.25">
      <c r="B11" s="13"/>
      <c r="C11" s="28" t="s">
        <v>15</v>
      </c>
      <c r="D11" s="13"/>
      <c r="E11" s="13"/>
      <c r="F11" s="13"/>
      <c r="G11" s="28" t="s">
        <v>16</v>
      </c>
      <c r="H11" s="13"/>
      <c r="I11" s="28" t="s">
        <v>17</v>
      </c>
    </row>
    <row r="12" spans="2:9" s="31" customFormat="1" ht="15.75" customHeight="1" x14ac:dyDescent="0.25">
      <c r="B12" s="13" t="s">
        <v>34</v>
      </c>
      <c r="C12" s="33" t="s">
        <v>79</v>
      </c>
      <c r="D12" s="33" t="s">
        <v>46</v>
      </c>
      <c r="E12" s="33" t="s">
        <v>46</v>
      </c>
      <c r="F12" s="33" t="s">
        <v>46</v>
      </c>
      <c r="G12" s="29" t="s">
        <v>60</v>
      </c>
      <c r="H12" s="13"/>
      <c r="I12" s="30">
        <v>6</v>
      </c>
    </row>
    <row r="13" spans="2:9" s="31" customFormat="1" ht="15.75" customHeight="1" x14ac:dyDescent="0.25">
      <c r="B13" s="13" t="s">
        <v>35</v>
      </c>
      <c r="C13" s="33" t="s">
        <v>80</v>
      </c>
      <c r="D13" s="33" t="s">
        <v>47</v>
      </c>
      <c r="E13" s="33" t="s">
        <v>47</v>
      </c>
      <c r="F13" s="33" t="s">
        <v>47</v>
      </c>
      <c r="G13" s="29" t="s">
        <v>60</v>
      </c>
      <c r="H13" s="13"/>
      <c r="I13" s="30">
        <v>4</v>
      </c>
    </row>
    <row r="14" spans="2:9" s="31" customFormat="1" ht="15.75" customHeight="1" x14ac:dyDescent="0.25">
      <c r="B14" s="13" t="s">
        <v>36</v>
      </c>
      <c r="C14" s="33" t="s">
        <v>81</v>
      </c>
      <c r="D14" s="33" t="s">
        <v>48</v>
      </c>
      <c r="E14" s="33" t="s">
        <v>48</v>
      </c>
      <c r="F14" s="33" t="s">
        <v>48</v>
      </c>
      <c r="G14" s="29" t="s">
        <v>60</v>
      </c>
      <c r="H14" s="13"/>
      <c r="I14" s="30">
        <v>5</v>
      </c>
    </row>
    <row r="15" spans="2:9" s="31" customFormat="1" ht="15.75" customHeight="1" x14ac:dyDescent="0.25">
      <c r="B15" s="13" t="s">
        <v>62</v>
      </c>
      <c r="C15" s="33" t="s">
        <v>82</v>
      </c>
      <c r="D15" s="33" t="s">
        <v>49</v>
      </c>
      <c r="E15" s="33" t="s">
        <v>49</v>
      </c>
      <c r="F15" s="33" t="s">
        <v>49</v>
      </c>
      <c r="G15" s="29" t="s">
        <v>60</v>
      </c>
      <c r="I15" s="30">
        <v>5</v>
      </c>
    </row>
    <row r="16" spans="2:9" s="31" customFormat="1" ht="15.75" customHeight="1" x14ac:dyDescent="0.25">
      <c r="B16" s="13"/>
      <c r="C16" s="13"/>
      <c r="D16" s="13"/>
      <c r="E16" s="13"/>
      <c r="F16" s="13"/>
    </row>
    <row r="17" spans="2:9" s="31" customFormat="1" ht="15.75" customHeight="1" x14ac:dyDescent="0.25">
      <c r="B17" s="23" t="s">
        <v>32</v>
      </c>
      <c r="C17" s="24" t="s">
        <v>65</v>
      </c>
      <c r="D17" s="23" t="s">
        <v>30</v>
      </c>
      <c r="E17" s="23" t="s">
        <v>71</v>
      </c>
      <c r="F17" s="23" t="s">
        <v>75</v>
      </c>
      <c r="G17" s="25"/>
      <c r="H17" s="23" t="s">
        <v>9</v>
      </c>
      <c r="I17" s="23" t="s">
        <v>54</v>
      </c>
    </row>
    <row r="18" spans="2:9" s="31" customFormat="1" ht="15.75" customHeight="1" x14ac:dyDescent="0.25">
      <c r="B18" s="13"/>
      <c r="C18" s="28" t="s">
        <v>15</v>
      </c>
      <c r="D18" s="13"/>
      <c r="E18" s="13"/>
      <c r="F18" s="13"/>
      <c r="G18" s="28" t="s">
        <v>16</v>
      </c>
      <c r="H18" s="13"/>
      <c r="I18" s="28" t="s">
        <v>17</v>
      </c>
    </row>
    <row r="19" spans="2:9" s="31" customFormat="1" ht="15.75" customHeight="1" x14ac:dyDescent="0.25">
      <c r="B19" s="13" t="s">
        <v>37</v>
      </c>
      <c r="C19" s="33" t="s">
        <v>87</v>
      </c>
      <c r="D19" s="33" t="s">
        <v>46</v>
      </c>
      <c r="E19" s="33" t="s">
        <v>46</v>
      </c>
      <c r="F19" s="33" t="s">
        <v>46</v>
      </c>
      <c r="G19" s="32" t="s">
        <v>61</v>
      </c>
      <c r="H19" s="13"/>
      <c r="I19" s="30">
        <v>4</v>
      </c>
    </row>
    <row r="20" spans="2:9" s="31" customFormat="1" ht="15.75" customHeight="1" x14ac:dyDescent="0.25">
      <c r="B20" s="13" t="s">
        <v>38</v>
      </c>
      <c r="C20" s="33" t="s">
        <v>88</v>
      </c>
      <c r="D20" s="33" t="s">
        <v>47</v>
      </c>
      <c r="E20" s="33" t="s">
        <v>47</v>
      </c>
      <c r="F20" s="33" t="s">
        <v>47</v>
      </c>
      <c r="G20" s="32" t="s">
        <v>61</v>
      </c>
      <c r="H20" s="13"/>
      <c r="I20" s="30">
        <v>4</v>
      </c>
    </row>
    <row r="21" spans="2:9" s="31" customFormat="1" ht="15.75" customHeight="1" x14ac:dyDescent="0.25">
      <c r="B21" s="13" t="s">
        <v>39</v>
      </c>
      <c r="C21" s="33" t="s">
        <v>83</v>
      </c>
      <c r="D21" s="33" t="s">
        <v>49</v>
      </c>
      <c r="E21" s="33" t="s">
        <v>49</v>
      </c>
      <c r="F21" s="33" t="s">
        <v>49</v>
      </c>
      <c r="G21" s="32" t="s">
        <v>61</v>
      </c>
      <c r="H21" s="13"/>
      <c r="I21" s="30">
        <v>3</v>
      </c>
    </row>
    <row r="22" spans="2:9" s="31" customFormat="1" ht="15.75" customHeight="1" x14ac:dyDescent="0.25">
      <c r="B22" s="13"/>
      <c r="C22" s="13"/>
      <c r="D22" s="13"/>
      <c r="E22" s="13"/>
      <c r="F22" s="13"/>
    </row>
    <row r="23" spans="2:9" s="31" customFormat="1" ht="15.75" customHeight="1" x14ac:dyDescent="0.25">
      <c r="B23" s="23" t="s">
        <v>33</v>
      </c>
      <c r="C23" s="24" t="s">
        <v>66</v>
      </c>
      <c r="D23" s="23" t="s">
        <v>30</v>
      </c>
      <c r="E23" s="23" t="s">
        <v>72</v>
      </c>
      <c r="F23" s="23" t="s">
        <v>76</v>
      </c>
      <c r="G23" s="25"/>
      <c r="H23" s="23" t="s">
        <v>9</v>
      </c>
      <c r="I23" s="23" t="s">
        <v>54</v>
      </c>
    </row>
    <row r="24" spans="2:9" s="31" customFormat="1" ht="15.75" customHeight="1" x14ac:dyDescent="0.25">
      <c r="B24" s="13"/>
      <c r="C24" s="28" t="s">
        <v>15</v>
      </c>
      <c r="D24" s="13"/>
      <c r="E24" s="13"/>
      <c r="F24" s="13"/>
      <c r="G24" s="28" t="s">
        <v>16</v>
      </c>
      <c r="H24" s="13"/>
      <c r="I24" s="28" t="s">
        <v>17</v>
      </c>
    </row>
    <row r="25" spans="2:9" s="31" customFormat="1" ht="15.75" customHeight="1" x14ac:dyDescent="0.25">
      <c r="B25" s="13" t="s">
        <v>40</v>
      </c>
      <c r="C25" s="33" t="s">
        <v>98</v>
      </c>
      <c r="D25" s="33" t="s">
        <v>46</v>
      </c>
      <c r="E25" s="33" t="s">
        <v>46</v>
      </c>
      <c r="F25" s="33" t="s">
        <v>46</v>
      </c>
      <c r="G25" s="32" t="s">
        <v>59</v>
      </c>
      <c r="H25" s="13"/>
      <c r="I25" s="30">
        <v>6</v>
      </c>
    </row>
    <row r="26" spans="2:9" s="31" customFormat="1" ht="15.75" customHeight="1" x14ac:dyDescent="0.25">
      <c r="B26" s="13" t="s">
        <v>41</v>
      </c>
      <c r="C26" s="33" t="s">
        <v>99</v>
      </c>
      <c r="D26" s="33" t="s">
        <v>47</v>
      </c>
      <c r="E26" s="33" t="s">
        <v>47</v>
      </c>
      <c r="F26" s="33" t="s">
        <v>47</v>
      </c>
      <c r="G26" s="32" t="s">
        <v>59</v>
      </c>
      <c r="H26" s="13"/>
      <c r="I26" s="30">
        <v>4</v>
      </c>
    </row>
    <row r="27" spans="2:9" s="31" customFormat="1" ht="15.75" customHeight="1" x14ac:dyDescent="0.25">
      <c r="B27" s="13" t="s">
        <v>42</v>
      </c>
      <c r="C27" s="33" t="s">
        <v>97</v>
      </c>
      <c r="D27" s="33" t="s">
        <v>48</v>
      </c>
      <c r="E27" s="33" t="s">
        <v>48</v>
      </c>
      <c r="F27" s="33" t="s">
        <v>48</v>
      </c>
      <c r="G27" s="32" t="s">
        <v>59</v>
      </c>
      <c r="H27" s="13"/>
      <c r="I27" s="30">
        <v>5</v>
      </c>
    </row>
    <row r="28" spans="2:9" s="31" customFormat="1" ht="15.75" customHeight="1" x14ac:dyDescent="0.25"/>
    <row r="29" spans="2:9" s="31" customFormat="1" ht="15.75" customHeight="1" x14ac:dyDescent="0.25">
      <c r="B29" s="23" t="s">
        <v>69</v>
      </c>
      <c r="C29" s="26" t="s">
        <v>67</v>
      </c>
      <c r="D29" s="23" t="s">
        <v>30</v>
      </c>
      <c r="E29" s="23" t="s">
        <v>73</v>
      </c>
      <c r="F29" s="23" t="s">
        <v>77</v>
      </c>
      <c r="G29" s="25"/>
      <c r="H29" s="23" t="s">
        <v>9</v>
      </c>
      <c r="I29" s="23" t="s">
        <v>54</v>
      </c>
    </row>
    <row r="30" spans="2:9" s="31" customFormat="1" ht="15.75" customHeight="1" x14ac:dyDescent="0.25"/>
    <row r="31" spans="2:9" s="31" customFormat="1" ht="15.75" customHeight="1" x14ac:dyDescent="0.25">
      <c r="B31" s="13" t="s">
        <v>84</v>
      </c>
      <c r="C31" s="14" t="s">
        <v>100</v>
      </c>
      <c r="G31" s="32" t="s">
        <v>59</v>
      </c>
      <c r="I31" s="30">
        <v>6</v>
      </c>
    </row>
    <row r="32" spans="2:9" s="31" customFormat="1" ht="15.75" customHeight="1" x14ac:dyDescent="0.25">
      <c r="B32" s="13" t="s">
        <v>85</v>
      </c>
      <c r="C32" s="14" t="s">
        <v>89</v>
      </c>
      <c r="G32" s="32" t="s">
        <v>59</v>
      </c>
      <c r="I32" s="30">
        <v>4</v>
      </c>
    </row>
    <row r="33" spans="2:9" s="31" customFormat="1" ht="15.75" customHeight="1" x14ac:dyDescent="0.25">
      <c r="B33" s="13" t="s">
        <v>86</v>
      </c>
      <c r="C33" s="14" t="s">
        <v>90</v>
      </c>
      <c r="G33" s="32" t="s">
        <v>59</v>
      </c>
      <c r="I33" s="30">
        <v>5</v>
      </c>
    </row>
    <row r="34" spans="2:9" s="31" customFormat="1" ht="15.75" customHeight="1" x14ac:dyDescent="0.25"/>
    <row r="35" spans="2:9" s="31" customFormat="1" ht="15.75" customHeight="1" x14ac:dyDescent="0.25">
      <c r="B35" s="23" t="s">
        <v>70</v>
      </c>
      <c r="C35" s="24" t="s">
        <v>68</v>
      </c>
      <c r="D35" s="23" t="s">
        <v>30</v>
      </c>
      <c r="E35" s="27" t="s">
        <v>74</v>
      </c>
      <c r="F35" s="23" t="s">
        <v>57</v>
      </c>
      <c r="G35" s="27"/>
      <c r="H35" s="23" t="s">
        <v>9</v>
      </c>
      <c r="I35" s="23" t="s">
        <v>54</v>
      </c>
    </row>
    <row r="36" spans="2:9" s="31" customFormat="1" ht="15.75" customHeight="1" x14ac:dyDescent="0.25"/>
    <row r="37" spans="2:9" s="31" customFormat="1" ht="15.75" customHeight="1" x14ac:dyDescent="0.25">
      <c r="B37" s="13" t="s">
        <v>91</v>
      </c>
      <c r="C37" s="14" t="s">
        <v>94</v>
      </c>
      <c r="G37" s="32" t="s">
        <v>61</v>
      </c>
      <c r="I37" s="30">
        <v>6</v>
      </c>
    </row>
    <row r="38" spans="2:9" s="31" customFormat="1" ht="15.75" customHeight="1" x14ac:dyDescent="0.25">
      <c r="B38" s="13" t="s">
        <v>92</v>
      </c>
      <c r="C38" s="14" t="s">
        <v>96</v>
      </c>
      <c r="G38" s="32" t="s">
        <v>61</v>
      </c>
      <c r="I38" s="30">
        <v>4</v>
      </c>
    </row>
    <row r="39" spans="2:9" s="31" customFormat="1" ht="15.75" customHeight="1" x14ac:dyDescent="0.25">
      <c r="B39" s="13" t="s">
        <v>93</v>
      </c>
      <c r="C39" s="14" t="s">
        <v>95</v>
      </c>
      <c r="G39" s="32" t="s">
        <v>61</v>
      </c>
      <c r="I39" s="30">
        <v>5</v>
      </c>
    </row>
    <row r="40" spans="2:9" ht="15.75" customHeight="1" x14ac:dyDescent="0.25"/>
    <row r="41" spans="2:9" ht="15.75" customHeight="1" x14ac:dyDescent="0.25"/>
    <row r="42" spans="2:9" ht="15.75" customHeight="1" x14ac:dyDescent="0.25"/>
    <row r="43" spans="2:9" ht="15.75" customHeight="1" x14ac:dyDescent="0.25"/>
    <row r="44" spans="2:9" ht="15.75" customHeight="1" x14ac:dyDescent="0.25"/>
    <row r="45" spans="2:9" ht="15.75" customHeight="1" x14ac:dyDescent="0.25"/>
    <row r="46" spans="2:9" ht="15.75" customHeight="1" x14ac:dyDescent="0.25"/>
    <row r="47" spans="2:9" ht="15.75" customHeight="1" x14ac:dyDescent="0.25"/>
    <row r="48" spans="2:9" ht="15.75" customHeight="1" x14ac:dyDescent="0.25"/>
    <row r="49" customFormat="1" ht="15.75" customHeight="1" x14ac:dyDescent="0.25"/>
    <row r="50" customFormat="1" ht="15.75" customHeight="1" x14ac:dyDescent="0.25"/>
    <row r="51" customFormat="1" ht="15.75" customHeight="1" x14ac:dyDescent="0.25"/>
    <row r="52" customFormat="1" ht="15.75" customHeight="1" x14ac:dyDescent="0.25"/>
    <row r="53" customFormat="1" ht="15.75" customHeight="1" x14ac:dyDescent="0.25"/>
    <row r="54" customFormat="1" ht="15.75" customHeight="1" x14ac:dyDescent="0.25"/>
    <row r="55" customFormat="1" ht="15.75" customHeight="1" x14ac:dyDescent="0.25"/>
    <row r="56" customFormat="1" ht="15.75" customHeight="1" x14ac:dyDescent="0.25"/>
    <row r="57" customFormat="1" ht="15.75" customHeight="1" x14ac:dyDescent="0.25"/>
    <row r="58" customFormat="1" ht="15.75" customHeight="1" x14ac:dyDescent="0.25"/>
    <row r="59" customFormat="1" ht="15.75" customHeight="1" x14ac:dyDescent="0.25"/>
    <row r="60" customFormat="1" ht="15.75" customHeight="1" x14ac:dyDescent="0.25"/>
    <row r="61" customFormat="1" ht="15.75" customHeight="1" x14ac:dyDescent="0.25"/>
    <row r="62" customFormat="1" ht="15.75" customHeight="1" x14ac:dyDescent="0.25"/>
    <row r="63" customFormat="1" ht="15.75" customHeight="1" x14ac:dyDescent="0.25"/>
    <row r="64" customFormat="1" ht="15.75" customHeight="1" x14ac:dyDescent="0.25"/>
    <row r="65" customFormat="1" ht="15.75" customHeight="1" x14ac:dyDescent="0.25"/>
    <row r="66" customFormat="1" ht="15.75" customHeight="1" x14ac:dyDescent="0.25"/>
    <row r="67" customFormat="1" ht="15.75" customHeight="1" x14ac:dyDescent="0.25"/>
    <row r="68" customFormat="1" ht="15.75" customHeight="1" x14ac:dyDescent="0.25"/>
    <row r="69" customFormat="1" ht="15.75" customHeight="1" x14ac:dyDescent="0.25"/>
    <row r="70" customFormat="1" ht="15.75" customHeight="1" x14ac:dyDescent="0.25"/>
    <row r="71" customFormat="1" ht="15.75" customHeight="1" x14ac:dyDescent="0.25"/>
    <row r="72" customFormat="1" ht="15.75" customHeight="1" x14ac:dyDescent="0.25"/>
    <row r="73" customFormat="1" ht="15.75" customHeight="1" x14ac:dyDescent="0.25"/>
    <row r="74" customFormat="1" ht="15.75" customHeight="1" x14ac:dyDescent="0.25"/>
    <row r="75" customFormat="1" ht="15.75" customHeight="1" x14ac:dyDescent="0.25"/>
    <row r="76" customFormat="1" ht="15.75" customHeight="1" x14ac:dyDescent="0.25"/>
    <row r="77" customFormat="1" ht="15.75" customHeight="1" x14ac:dyDescent="0.25"/>
    <row r="78" customFormat="1" ht="15.75" customHeight="1" x14ac:dyDescent="0.25"/>
    <row r="79" customFormat="1" ht="15.75" customHeight="1" x14ac:dyDescent="0.25"/>
    <row r="80" customFormat="1" ht="15.75" customHeight="1" x14ac:dyDescent="0.25"/>
    <row r="81" customFormat="1" ht="15.75" customHeight="1" x14ac:dyDescent="0.25"/>
    <row r="82" customFormat="1" ht="15.75" customHeight="1" x14ac:dyDescent="0.25"/>
    <row r="83" customFormat="1" ht="15.75" customHeight="1" x14ac:dyDescent="0.25"/>
    <row r="84" customFormat="1" ht="15.75" customHeight="1" x14ac:dyDescent="0.25"/>
    <row r="85" customFormat="1" ht="15.75" customHeight="1" x14ac:dyDescent="0.25"/>
    <row r="86" customFormat="1" ht="15.75" customHeight="1" x14ac:dyDescent="0.25"/>
    <row r="87" customFormat="1" ht="15.75" customHeight="1" x14ac:dyDescent="0.25"/>
    <row r="88" customFormat="1" ht="15.75" customHeight="1" x14ac:dyDescent="0.25"/>
    <row r="89" customFormat="1" ht="15.75" customHeight="1" x14ac:dyDescent="0.25"/>
    <row r="90" customFormat="1" ht="15.75" customHeight="1" x14ac:dyDescent="0.25"/>
    <row r="91" customFormat="1" ht="15.75" customHeight="1" x14ac:dyDescent="0.25"/>
    <row r="92" customFormat="1" ht="15.75" customHeight="1" x14ac:dyDescent="0.25"/>
    <row r="93" customFormat="1" ht="15.75" customHeight="1" x14ac:dyDescent="0.25"/>
    <row r="94" customFormat="1" ht="15.75" customHeight="1" x14ac:dyDescent="0.25"/>
    <row r="95" customFormat="1" ht="15.75" customHeight="1" x14ac:dyDescent="0.25"/>
    <row r="96" customFormat="1" ht="15.75" customHeight="1" x14ac:dyDescent="0.25"/>
    <row r="97" customFormat="1" ht="15.75" customHeight="1" x14ac:dyDescent="0.25"/>
    <row r="98" customFormat="1" ht="15.75" customHeight="1" x14ac:dyDescent="0.25"/>
    <row r="99" customFormat="1" ht="15.75" customHeight="1" x14ac:dyDescent="0.25"/>
    <row r="100" customFormat="1" ht="15.75" customHeight="1" x14ac:dyDescent="0.25"/>
    <row r="101" customFormat="1" ht="15.75" customHeight="1" x14ac:dyDescent="0.25"/>
    <row r="102" customFormat="1" ht="15.75" customHeight="1" x14ac:dyDescent="0.25"/>
    <row r="103" customFormat="1" ht="15.75" customHeight="1" x14ac:dyDescent="0.25"/>
    <row r="104" customFormat="1" ht="15.75" customHeight="1" x14ac:dyDescent="0.25"/>
    <row r="105" customFormat="1" ht="15.75" customHeight="1" x14ac:dyDescent="0.25"/>
    <row r="106" customFormat="1" ht="15.75" customHeight="1" x14ac:dyDescent="0.25"/>
    <row r="107" customFormat="1" ht="15.75" customHeight="1" x14ac:dyDescent="0.25"/>
    <row r="108" customFormat="1" ht="15.75" customHeight="1" x14ac:dyDescent="0.25"/>
    <row r="109" customFormat="1" ht="15.75" customHeight="1" x14ac:dyDescent="0.25"/>
    <row r="110" customFormat="1" ht="15.75" customHeight="1" x14ac:dyDescent="0.25"/>
    <row r="111" customFormat="1" ht="15.75" customHeight="1" x14ac:dyDescent="0.25"/>
    <row r="112" customFormat="1" ht="15.75" customHeight="1" x14ac:dyDescent="0.25"/>
    <row r="113" customFormat="1" ht="15.75" customHeight="1" x14ac:dyDescent="0.25"/>
    <row r="114" customFormat="1" ht="15.75" customHeight="1" x14ac:dyDescent="0.25"/>
    <row r="115" customFormat="1" ht="15.75" customHeight="1" x14ac:dyDescent="0.25"/>
    <row r="116" customFormat="1" ht="15.75" customHeight="1" x14ac:dyDescent="0.25"/>
    <row r="117" customFormat="1" ht="15.75" customHeight="1" x14ac:dyDescent="0.25"/>
    <row r="118" customFormat="1" ht="15.75" customHeight="1" x14ac:dyDescent="0.25"/>
    <row r="119" customFormat="1" ht="15.75" customHeight="1" x14ac:dyDescent="0.25"/>
    <row r="120" customFormat="1" ht="15.75" customHeight="1" x14ac:dyDescent="0.25"/>
    <row r="121" customFormat="1" ht="15.75" customHeight="1" x14ac:dyDescent="0.25"/>
    <row r="122" customFormat="1" ht="15.75" customHeight="1" x14ac:dyDescent="0.25"/>
    <row r="123" customFormat="1" ht="15.75" customHeight="1" x14ac:dyDescent="0.25"/>
    <row r="124" customFormat="1" ht="15.75" customHeight="1" x14ac:dyDescent="0.25"/>
    <row r="125" customFormat="1" ht="15.75" customHeight="1" x14ac:dyDescent="0.25"/>
    <row r="126" customFormat="1" ht="15.75" customHeight="1" x14ac:dyDescent="0.25"/>
    <row r="127" customFormat="1" ht="15.75" customHeight="1" x14ac:dyDescent="0.25"/>
    <row r="128" customFormat="1" ht="15.75" customHeight="1" x14ac:dyDescent="0.25"/>
    <row r="129" customFormat="1" ht="15.75" customHeight="1" x14ac:dyDescent="0.25"/>
    <row r="130" customFormat="1" ht="15.75" customHeight="1" x14ac:dyDescent="0.25"/>
    <row r="131" customFormat="1" ht="15.75" customHeight="1" x14ac:dyDescent="0.25"/>
    <row r="132" customFormat="1" ht="15.75" customHeight="1" x14ac:dyDescent="0.25"/>
    <row r="133" customFormat="1" ht="15.75" customHeight="1" x14ac:dyDescent="0.25"/>
    <row r="134" customFormat="1" ht="15.75" customHeight="1" x14ac:dyDescent="0.25"/>
    <row r="135" customFormat="1" ht="15.75" customHeight="1" x14ac:dyDescent="0.25"/>
    <row r="136" customFormat="1" ht="15.75" customHeight="1" x14ac:dyDescent="0.25"/>
    <row r="137" customFormat="1" ht="15.75" customHeight="1" x14ac:dyDescent="0.25"/>
    <row r="138" customFormat="1" ht="15.75" customHeight="1" x14ac:dyDescent="0.25"/>
    <row r="139" customFormat="1" ht="15.75" customHeight="1" x14ac:dyDescent="0.25"/>
    <row r="140" customFormat="1" ht="15.75" customHeight="1" x14ac:dyDescent="0.25"/>
    <row r="141" customFormat="1" ht="15.75" customHeight="1" x14ac:dyDescent="0.25"/>
    <row r="142" customFormat="1" ht="15.75" customHeight="1" x14ac:dyDescent="0.25"/>
    <row r="143" customFormat="1" ht="15.75" customHeight="1" x14ac:dyDescent="0.25"/>
    <row r="144" customFormat="1" ht="15.75" customHeight="1" x14ac:dyDescent="0.25"/>
    <row r="145" customFormat="1" ht="15.75" customHeight="1" x14ac:dyDescent="0.25"/>
    <row r="146" customFormat="1" ht="15.75" customHeight="1" x14ac:dyDescent="0.25"/>
    <row r="147" customFormat="1" ht="15.75" customHeight="1" x14ac:dyDescent="0.25"/>
    <row r="148" customFormat="1" ht="15.75" customHeight="1" x14ac:dyDescent="0.25"/>
    <row r="149" customFormat="1" ht="15.75" customHeight="1" x14ac:dyDescent="0.25"/>
    <row r="150" customFormat="1" ht="15.75" customHeight="1" x14ac:dyDescent="0.25"/>
    <row r="151" customFormat="1" ht="15.75" customHeight="1" x14ac:dyDescent="0.25"/>
    <row r="152" customFormat="1" ht="15.75" customHeight="1" x14ac:dyDescent="0.25"/>
    <row r="153" customFormat="1" ht="15.75" customHeight="1" x14ac:dyDescent="0.25"/>
    <row r="154" customFormat="1" ht="15.75" customHeight="1" x14ac:dyDescent="0.25"/>
    <row r="155" customFormat="1" ht="15.75" customHeight="1" x14ac:dyDescent="0.25"/>
    <row r="156" customFormat="1" ht="15.75" customHeight="1" x14ac:dyDescent="0.25"/>
    <row r="157" customFormat="1" ht="15.75" customHeight="1" x14ac:dyDescent="0.25"/>
    <row r="158" customFormat="1" ht="15.75" customHeight="1" x14ac:dyDescent="0.25"/>
    <row r="159" customFormat="1" ht="15.75" customHeight="1" x14ac:dyDescent="0.25"/>
    <row r="160" customFormat="1" ht="15.75" customHeight="1" x14ac:dyDescent="0.25"/>
    <row r="161" customFormat="1" ht="15.75" customHeight="1" x14ac:dyDescent="0.25"/>
    <row r="162" customFormat="1" ht="15.75" customHeight="1" x14ac:dyDescent="0.25"/>
    <row r="163" customFormat="1" ht="15.75" customHeight="1" x14ac:dyDescent="0.25"/>
    <row r="164" customFormat="1" ht="15.75" customHeight="1" x14ac:dyDescent="0.25"/>
    <row r="165" customFormat="1" ht="15.75" customHeight="1" x14ac:dyDescent="0.25"/>
    <row r="166" customFormat="1" ht="15.75" customHeight="1" x14ac:dyDescent="0.25"/>
    <row r="167" customFormat="1" ht="15.75" customHeight="1" x14ac:dyDescent="0.25"/>
    <row r="168" customFormat="1" ht="15.75" customHeight="1" x14ac:dyDescent="0.25"/>
    <row r="169" customFormat="1" ht="15.75" customHeight="1" x14ac:dyDescent="0.25"/>
    <row r="170" customFormat="1" ht="15.75" customHeight="1" x14ac:dyDescent="0.25"/>
    <row r="171" customFormat="1" ht="15.75" customHeight="1" x14ac:dyDescent="0.25"/>
    <row r="172" customFormat="1" ht="15.75" customHeight="1" x14ac:dyDescent="0.25"/>
    <row r="173" customFormat="1" ht="15.75" customHeight="1" x14ac:dyDescent="0.25"/>
    <row r="174" customFormat="1" ht="15.75" customHeight="1" x14ac:dyDescent="0.25"/>
    <row r="175" customFormat="1" ht="15.75" customHeight="1" x14ac:dyDescent="0.25"/>
    <row r="176" customFormat="1" ht="15.75" customHeight="1" x14ac:dyDescent="0.25"/>
    <row r="177" customFormat="1" ht="15.75" customHeight="1" x14ac:dyDescent="0.25"/>
    <row r="178" customFormat="1" ht="15.75" customHeight="1" x14ac:dyDescent="0.25"/>
    <row r="179" customFormat="1" ht="15.75" customHeight="1" x14ac:dyDescent="0.25"/>
    <row r="180" customFormat="1" ht="15.75" customHeight="1" x14ac:dyDescent="0.25"/>
    <row r="181" customFormat="1" ht="15.75" customHeight="1" x14ac:dyDescent="0.25"/>
    <row r="182" customFormat="1" ht="15.75" customHeight="1" x14ac:dyDescent="0.25"/>
    <row r="183" customFormat="1" ht="15.75" customHeight="1" x14ac:dyDescent="0.25"/>
    <row r="184" customFormat="1" ht="15.75" customHeight="1" x14ac:dyDescent="0.25"/>
    <row r="185" customFormat="1" ht="15.75" customHeight="1" x14ac:dyDescent="0.25"/>
    <row r="186" customFormat="1" ht="15.75" customHeight="1" x14ac:dyDescent="0.25"/>
    <row r="187" customFormat="1" ht="15.75" customHeight="1" x14ac:dyDescent="0.25"/>
    <row r="188" customFormat="1" ht="15.75" customHeight="1" x14ac:dyDescent="0.25"/>
    <row r="189" customFormat="1" ht="15.75" customHeight="1" x14ac:dyDescent="0.25"/>
    <row r="190" customFormat="1" ht="15.75" customHeight="1" x14ac:dyDescent="0.25"/>
    <row r="191" customFormat="1" ht="15.75" customHeight="1" x14ac:dyDescent="0.25"/>
    <row r="192" customFormat="1" ht="15.75" customHeight="1" x14ac:dyDescent="0.25"/>
    <row r="193" customFormat="1" ht="15.75" customHeight="1" x14ac:dyDescent="0.25"/>
    <row r="194" customFormat="1" ht="15.75" customHeight="1" x14ac:dyDescent="0.25"/>
    <row r="195" customFormat="1" ht="15.75" customHeight="1" x14ac:dyDescent="0.25"/>
    <row r="196" customFormat="1" ht="15.75" customHeight="1" x14ac:dyDescent="0.25"/>
    <row r="197" customFormat="1" ht="15.75" customHeight="1" x14ac:dyDescent="0.25"/>
    <row r="198" customFormat="1" ht="15.75" customHeight="1" x14ac:dyDescent="0.25"/>
    <row r="199" customFormat="1" ht="15.75" customHeight="1" x14ac:dyDescent="0.25"/>
    <row r="200" customFormat="1" ht="15.75" customHeight="1" x14ac:dyDescent="0.25"/>
    <row r="201" customFormat="1" ht="15.75" customHeight="1" x14ac:dyDescent="0.25"/>
    <row r="202" customFormat="1" ht="15.75" customHeight="1" x14ac:dyDescent="0.25"/>
    <row r="203" customFormat="1" ht="15.75" customHeight="1" x14ac:dyDescent="0.25"/>
    <row r="204" customFormat="1" ht="15.75" customHeight="1" x14ac:dyDescent="0.25"/>
    <row r="205" customFormat="1" ht="15.75" customHeight="1" x14ac:dyDescent="0.25"/>
    <row r="206" customFormat="1" ht="15.75" customHeight="1" x14ac:dyDescent="0.25"/>
    <row r="207" customFormat="1" ht="15.75" customHeight="1" x14ac:dyDescent="0.25"/>
    <row r="208" customFormat="1" ht="15.75" customHeight="1" x14ac:dyDescent="0.25"/>
    <row r="209" customFormat="1" ht="15.75" customHeight="1" x14ac:dyDescent="0.25"/>
    <row r="210" customFormat="1" ht="15.75" customHeight="1" x14ac:dyDescent="0.25"/>
    <row r="211" customFormat="1" ht="15.75" customHeight="1" x14ac:dyDescent="0.25"/>
    <row r="212" customFormat="1" ht="15.75" customHeight="1" x14ac:dyDescent="0.25"/>
    <row r="213" customFormat="1" ht="15.75" customHeight="1" x14ac:dyDescent="0.25"/>
    <row r="214" customFormat="1" ht="15.75" customHeight="1" x14ac:dyDescent="0.25"/>
    <row r="215" customFormat="1" ht="15.75" customHeight="1" x14ac:dyDescent="0.25"/>
    <row r="216" customFormat="1" ht="15.75" customHeight="1" x14ac:dyDescent="0.25"/>
    <row r="217" customFormat="1" ht="15.75" customHeight="1" x14ac:dyDescent="0.25"/>
    <row r="218" customFormat="1" ht="15.75" customHeight="1" x14ac:dyDescent="0.25"/>
    <row r="219" customFormat="1" ht="15.75" customHeight="1" x14ac:dyDescent="0.25"/>
    <row r="220" customFormat="1" ht="15.75" customHeight="1" x14ac:dyDescent="0.25"/>
    <row r="221" customFormat="1" ht="15.75" customHeight="1" x14ac:dyDescent="0.25"/>
    <row r="222" customFormat="1" ht="15.75" customHeight="1" x14ac:dyDescent="0.25"/>
    <row r="223" customFormat="1" ht="15.75" customHeight="1" x14ac:dyDescent="0.25"/>
    <row r="224" customFormat="1" ht="15.75" customHeight="1" x14ac:dyDescent="0.25"/>
    <row r="225" customFormat="1" ht="15.75" customHeight="1" x14ac:dyDescent="0.25"/>
    <row r="226" customFormat="1" ht="15.75" customHeight="1" x14ac:dyDescent="0.25"/>
    <row r="227" customFormat="1" ht="15.75" customHeight="1" x14ac:dyDescent="0.25"/>
    <row r="228" customFormat="1" ht="15.75" customHeight="1" x14ac:dyDescent="0.25"/>
    <row r="229" customFormat="1" ht="15.75" customHeight="1" x14ac:dyDescent="0.25"/>
    <row r="230" customFormat="1" ht="15.75" customHeight="1" x14ac:dyDescent="0.25"/>
    <row r="231" customFormat="1" ht="15.75" customHeight="1" x14ac:dyDescent="0.25"/>
    <row r="232" customFormat="1" ht="15.75" customHeight="1" x14ac:dyDescent="0.25"/>
    <row r="233" customFormat="1" ht="15.75" customHeight="1" x14ac:dyDescent="0.25"/>
    <row r="234" customFormat="1" ht="15.75" customHeight="1" x14ac:dyDescent="0.25"/>
    <row r="235" customFormat="1" ht="15.75" customHeight="1" x14ac:dyDescent="0.25"/>
    <row r="236" customFormat="1" ht="15.75" customHeight="1" x14ac:dyDescent="0.25"/>
    <row r="237" customFormat="1" ht="15.75" customHeight="1" x14ac:dyDescent="0.25"/>
    <row r="238" customFormat="1" ht="15.75" customHeight="1" x14ac:dyDescent="0.25"/>
    <row r="239" customFormat="1" ht="15.75" customHeight="1" x14ac:dyDescent="0.25"/>
    <row r="240" customFormat="1" ht="15.75" customHeight="1" x14ac:dyDescent="0.25"/>
    <row r="241" customFormat="1" ht="15.75" customHeight="1" x14ac:dyDescent="0.25"/>
    <row r="242" customFormat="1" ht="15.75" customHeight="1" x14ac:dyDescent="0.25"/>
    <row r="243" customFormat="1" ht="15.75" customHeight="1" x14ac:dyDescent="0.25"/>
    <row r="244" customFormat="1" ht="15.75" customHeight="1" x14ac:dyDescent="0.25"/>
    <row r="245" customFormat="1" ht="15.75" customHeight="1" x14ac:dyDescent="0.25"/>
    <row r="246" customFormat="1" ht="15.75" customHeight="1" x14ac:dyDescent="0.25"/>
    <row r="247" customFormat="1" ht="15.75" customHeight="1" x14ac:dyDescent="0.25"/>
    <row r="248" customFormat="1" ht="15.75" customHeight="1" x14ac:dyDescent="0.25"/>
    <row r="249" customFormat="1" ht="15.75" customHeight="1" x14ac:dyDescent="0.25"/>
    <row r="250" customFormat="1" ht="15.75" customHeight="1" x14ac:dyDescent="0.25"/>
    <row r="251" customFormat="1" ht="15.75" customHeight="1" x14ac:dyDescent="0.25"/>
    <row r="252" customFormat="1" ht="15.75" customHeight="1" x14ac:dyDescent="0.25"/>
    <row r="253" customFormat="1" ht="15.75" customHeight="1" x14ac:dyDescent="0.25"/>
    <row r="254" customFormat="1" ht="15.75" customHeight="1" x14ac:dyDescent="0.25"/>
    <row r="255" customFormat="1" ht="15.75" customHeight="1" x14ac:dyDescent="0.25"/>
    <row r="256" customFormat="1" ht="15.75" customHeight="1" x14ac:dyDescent="0.25"/>
    <row r="257" customFormat="1" ht="15.75" customHeight="1" x14ac:dyDescent="0.25"/>
    <row r="258" customFormat="1" ht="15.75" customHeight="1" x14ac:dyDescent="0.25"/>
    <row r="259" customFormat="1" ht="15.75" customHeight="1" x14ac:dyDescent="0.25"/>
    <row r="260" customFormat="1" ht="15.75" customHeight="1" x14ac:dyDescent="0.25"/>
    <row r="261" customFormat="1" ht="15.75" customHeight="1" x14ac:dyDescent="0.25"/>
    <row r="262" customFormat="1" ht="15.75" customHeight="1" x14ac:dyDescent="0.25"/>
    <row r="263" customFormat="1" ht="15.75" customHeight="1" x14ac:dyDescent="0.25"/>
    <row r="264" customFormat="1" ht="15.75" customHeight="1" x14ac:dyDescent="0.25"/>
    <row r="265" customFormat="1" ht="15.75" customHeight="1" x14ac:dyDescent="0.25"/>
    <row r="266" customFormat="1" ht="15.75" customHeight="1" x14ac:dyDescent="0.25"/>
    <row r="267" customFormat="1" ht="15.75" customHeight="1" x14ac:dyDescent="0.25"/>
    <row r="268" customFormat="1" ht="15.75" customHeight="1" x14ac:dyDescent="0.25"/>
    <row r="269" customFormat="1" ht="15.75" customHeight="1" x14ac:dyDescent="0.25"/>
    <row r="270" customFormat="1" ht="15.75" customHeight="1" x14ac:dyDescent="0.25"/>
    <row r="271" customFormat="1" ht="15.75" customHeight="1" x14ac:dyDescent="0.25"/>
    <row r="272" customFormat="1" ht="15.75" customHeight="1" x14ac:dyDescent="0.25"/>
    <row r="273" customFormat="1" ht="15.75" customHeight="1" x14ac:dyDescent="0.25"/>
    <row r="274" customFormat="1" ht="15.75" customHeight="1" x14ac:dyDescent="0.25"/>
    <row r="275" customFormat="1" ht="15.75" customHeight="1" x14ac:dyDescent="0.25"/>
    <row r="276" customFormat="1" ht="15.75" customHeight="1" x14ac:dyDescent="0.25"/>
    <row r="277" customFormat="1" ht="15.75" customHeight="1" x14ac:dyDescent="0.25"/>
    <row r="278" customFormat="1" ht="15.75" customHeight="1" x14ac:dyDescent="0.25"/>
    <row r="279" customFormat="1" ht="15.75" customHeight="1" x14ac:dyDescent="0.25"/>
    <row r="280" customFormat="1" ht="15.75" customHeight="1" x14ac:dyDescent="0.25"/>
    <row r="281" customFormat="1" ht="15.75" customHeight="1" x14ac:dyDescent="0.25"/>
    <row r="282" customFormat="1" ht="15.75" customHeight="1" x14ac:dyDescent="0.25"/>
    <row r="283" customFormat="1" ht="15.75" customHeight="1" x14ac:dyDescent="0.25"/>
    <row r="284" customFormat="1" ht="15.75" customHeight="1" x14ac:dyDescent="0.25"/>
    <row r="285" customFormat="1" ht="15.75" customHeight="1" x14ac:dyDescent="0.25"/>
    <row r="286" customFormat="1" ht="15.75" customHeight="1" x14ac:dyDescent="0.25"/>
    <row r="287" customFormat="1" ht="15.75" customHeight="1" x14ac:dyDescent="0.25"/>
    <row r="288" customFormat="1" ht="15.75" customHeight="1" x14ac:dyDescent="0.25"/>
    <row r="289" customFormat="1" ht="15.75" customHeight="1" x14ac:dyDescent="0.25"/>
    <row r="290" customFormat="1" ht="15.75" customHeight="1" x14ac:dyDescent="0.25"/>
    <row r="291" customFormat="1" ht="15.75" customHeight="1" x14ac:dyDescent="0.25"/>
    <row r="292" customFormat="1" ht="15.75" customHeight="1" x14ac:dyDescent="0.25"/>
    <row r="293" customFormat="1" ht="15.75" customHeight="1" x14ac:dyDescent="0.25"/>
    <row r="294" customFormat="1" ht="15.75" customHeight="1" x14ac:dyDescent="0.25"/>
    <row r="295" customFormat="1" ht="15.75" customHeight="1" x14ac:dyDescent="0.25"/>
    <row r="296" customFormat="1" ht="15.75" customHeight="1" x14ac:dyDescent="0.25"/>
    <row r="297" customFormat="1" ht="15.75" customHeight="1" x14ac:dyDescent="0.25"/>
    <row r="298" customFormat="1" ht="15.75" customHeight="1" x14ac:dyDescent="0.25"/>
    <row r="299" customFormat="1" ht="15.75" customHeight="1" x14ac:dyDescent="0.25"/>
    <row r="300" customFormat="1" ht="15.75" customHeight="1" x14ac:dyDescent="0.25"/>
    <row r="301" customFormat="1" ht="15.75" customHeight="1" x14ac:dyDescent="0.25"/>
    <row r="302" customFormat="1" ht="15.75" customHeight="1" x14ac:dyDescent="0.25"/>
    <row r="303" customFormat="1" ht="15.75" customHeight="1" x14ac:dyDescent="0.25"/>
    <row r="304" customFormat="1" ht="15.75" customHeight="1" x14ac:dyDescent="0.25"/>
    <row r="305" customFormat="1" ht="15.75" customHeight="1" x14ac:dyDescent="0.25"/>
    <row r="306" customFormat="1" ht="15.75" customHeight="1" x14ac:dyDescent="0.25"/>
    <row r="307" customFormat="1" ht="15.75" customHeight="1" x14ac:dyDescent="0.25"/>
    <row r="308" customFormat="1" ht="15.75" customHeight="1" x14ac:dyDescent="0.25"/>
    <row r="309" customFormat="1" ht="15.75" customHeight="1" x14ac:dyDescent="0.25"/>
    <row r="310" customFormat="1" ht="15.75" customHeight="1" x14ac:dyDescent="0.25"/>
    <row r="311" customFormat="1" ht="15.75" customHeight="1" x14ac:dyDescent="0.25"/>
    <row r="312" customFormat="1" ht="15.75" customHeight="1" x14ac:dyDescent="0.25"/>
    <row r="313" customFormat="1" ht="15.75" customHeight="1" x14ac:dyDescent="0.25"/>
    <row r="314" customFormat="1" ht="15.75" customHeight="1" x14ac:dyDescent="0.25"/>
    <row r="315" customFormat="1" ht="15.75" customHeight="1" x14ac:dyDescent="0.25"/>
    <row r="316" customFormat="1" ht="15.75" customHeight="1" x14ac:dyDescent="0.25"/>
    <row r="317" customFormat="1" ht="15.75" customHeight="1" x14ac:dyDescent="0.25"/>
    <row r="318" customFormat="1" ht="15.75" customHeight="1" x14ac:dyDescent="0.25"/>
    <row r="319" customFormat="1" ht="15.75" customHeight="1" x14ac:dyDescent="0.25"/>
    <row r="320" customFormat="1" ht="15.75" customHeight="1" x14ac:dyDescent="0.25"/>
    <row r="321" customFormat="1" ht="15.75" customHeight="1" x14ac:dyDescent="0.25"/>
    <row r="322" customFormat="1" ht="15.75" customHeight="1" x14ac:dyDescent="0.25"/>
    <row r="323" customFormat="1" ht="15.75" customHeight="1" x14ac:dyDescent="0.25"/>
    <row r="324" customFormat="1" ht="15.75" customHeight="1" x14ac:dyDescent="0.25"/>
    <row r="325" customFormat="1" ht="15.75" customHeight="1" x14ac:dyDescent="0.25"/>
    <row r="326" customFormat="1" ht="15.75" customHeight="1" x14ac:dyDescent="0.25"/>
    <row r="327" customFormat="1" ht="15.75" customHeight="1" x14ac:dyDescent="0.25"/>
    <row r="328" customFormat="1" ht="15.75" customHeight="1" x14ac:dyDescent="0.25"/>
    <row r="329" customFormat="1" ht="15.75" customHeight="1" x14ac:dyDescent="0.25"/>
    <row r="330" customFormat="1" ht="15.75" customHeight="1" x14ac:dyDescent="0.25"/>
    <row r="331" customFormat="1" ht="15.75" customHeight="1" x14ac:dyDescent="0.25"/>
    <row r="332" customFormat="1" ht="15.75" customHeight="1" x14ac:dyDescent="0.25"/>
    <row r="333" customFormat="1" ht="15.75" customHeight="1" x14ac:dyDescent="0.25"/>
    <row r="334" customFormat="1" ht="15.75" customHeight="1" x14ac:dyDescent="0.25"/>
    <row r="335" customFormat="1" ht="15.75" customHeight="1" x14ac:dyDescent="0.25"/>
    <row r="336" customFormat="1" ht="15.75" customHeight="1" x14ac:dyDescent="0.25"/>
    <row r="337" customFormat="1" ht="15.75" customHeight="1" x14ac:dyDescent="0.25"/>
    <row r="338" customFormat="1" ht="15.75" customHeight="1" x14ac:dyDescent="0.25"/>
    <row r="339" customFormat="1" ht="15.75" customHeight="1" x14ac:dyDescent="0.25"/>
    <row r="340" customFormat="1" ht="15.75" customHeight="1" x14ac:dyDescent="0.25"/>
    <row r="341" customFormat="1" ht="15.75" customHeight="1" x14ac:dyDescent="0.25"/>
    <row r="342" customFormat="1" ht="15.75" customHeight="1" x14ac:dyDescent="0.25"/>
    <row r="343" customFormat="1" ht="15.75" customHeight="1" x14ac:dyDescent="0.25"/>
    <row r="344" customFormat="1" ht="15.75" customHeight="1" x14ac:dyDescent="0.25"/>
    <row r="345" customFormat="1" ht="15.75" customHeight="1" x14ac:dyDescent="0.25"/>
    <row r="346" customFormat="1" ht="15.75" customHeight="1" x14ac:dyDescent="0.25"/>
    <row r="347" customFormat="1" ht="15.75" customHeight="1" x14ac:dyDescent="0.25"/>
    <row r="348" customFormat="1" ht="15.75" customHeight="1" x14ac:dyDescent="0.25"/>
    <row r="349" customFormat="1" ht="15.75" customHeight="1" x14ac:dyDescent="0.25"/>
    <row r="350" customFormat="1" ht="15.75" customHeight="1" x14ac:dyDescent="0.25"/>
    <row r="351" customFormat="1" ht="15.75" customHeight="1" x14ac:dyDescent="0.25"/>
    <row r="352" customFormat="1" ht="15.75" customHeight="1" x14ac:dyDescent="0.25"/>
    <row r="353" customFormat="1" ht="15.75" customHeight="1" x14ac:dyDescent="0.25"/>
    <row r="354" customFormat="1" ht="15.75" customHeight="1" x14ac:dyDescent="0.25"/>
    <row r="355" customFormat="1" ht="15.75" customHeight="1" x14ac:dyDescent="0.25"/>
    <row r="356" customFormat="1" ht="15.75" customHeight="1" x14ac:dyDescent="0.25"/>
    <row r="357" customFormat="1" ht="15.75" customHeight="1" x14ac:dyDescent="0.25"/>
    <row r="358" customFormat="1" ht="15.75" customHeight="1" x14ac:dyDescent="0.25"/>
    <row r="359" customFormat="1" ht="15.75" customHeight="1" x14ac:dyDescent="0.25"/>
    <row r="360" customFormat="1" ht="15.75" customHeight="1" x14ac:dyDescent="0.25"/>
    <row r="361" customFormat="1" ht="15.75" customHeight="1" x14ac:dyDescent="0.25"/>
    <row r="362" customFormat="1" ht="15.75" customHeight="1" x14ac:dyDescent="0.25"/>
    <row r="363" customFormat="1" ht="15.75" customHeight="1" x14ac:dyDescent="0.25"/>
    <row r="364" customFormat="1" ht="15.75" customHeight="1" x14ac:dyDescent="0.25"/>
    <row r="365" customFormat="1" ht="15.75" customHeight="1" x14ac:dyDescent="0.25"/>
    <row r="366" customFormat="1" ht="15.75" customHeight="1" x14ac:dyDescent="0.25"/>
    <row r="367" customFormat="1" ht="15.75" customHeight="1" x14ac:dyDescent="0.25"/>
    <row r="368" customFormat="1" ht="15.75" customHeight="1" x14ac:dyDescent="0.25"/>
    <row r="369" customFormat="1" ht="15.75" customHeight="1" x14ac:dyDescent="0.25"/>
    <row r="370" customFormat="1" ht="15.75" customHeight="1" x14ac:dyDescent="0.25"/>
    <row r="371" customFormat="1" ht="15.75" customHeight="1" x14ac:dyDescent="0.25"/>
    <row r="372" customFormat="1" ht="15.75" customHeight="1" x14ac:dyDescent="0.25"/>
    <row r="373" customFormat="1" ht="15.75" customHeight="1" x14ac:dyDescent="0.25"/>
    <row r="374" customFormat="1" ht="15.75" customHeight="1" x14ac:dyDescent="0.25"/>
    <row r="375" customFormat="1" ht="15.75" customHeight="1" x14ac:dyDescent="0.25"/>
    <row r="376" customFormat="1" ht="15.75" customHeight="1" x14ac:dyDescent="0.25"/>
    <row r="377" customFormat="1" ht="15.75" customHeight="1" x14ac:dyDescent="0.25"/>
    <row r="378" customFormat="1" ht="15.75" customHeight="1" x14ac:dyDescent="0.25"/>
    <row r="379" customFormat="1" ht="15.75" customHeight="1" x14ac:dyDescent="0.25"/>
    <row r="380" customFormat="1" ht="15.75" customHeight="1" x14ac:dyDescent="0.25"/>
    <row r="381" customFormat="1" ht="15.75" customHeight="1" x14ac:dyDescent="0.25"/>
    <row r="382" customFormat="1" ht="15.75" customHeight="1" x14ac:dyDescent="0.25"/>
    <row r="383" customFormat="1" ht="15.75" customHeight="1" x14ac:dyDescent="0.25"/>
    <row r="384" customFormat="1" ht="15.75" customHeight="1" x14ac:dyDescent="0.25"/>
    <row r="385" customFormat="1" ht="15.75" customHeight="1" x14ac:dyDescent="0.25"/>
    <row r="386" customFormat="1" ht="15.75" customHeight="1" x14ac:dyDescent="0.25"/>
    <row r="387" customFormat="1" ht="15.75" customHeight="1" x14ac:dyDescent="0.25"/>
    <row r="388" customFormat="1" ht="15.75" customHeight="1" x14ac:dyDescent="0.25"/>
    <row r="389" customFormat="1" ht="15.75" customHeight="1" x14ac:dyDescent="0.25"/>
    <row r="390" customFormat="1" ht="15.75" customHeight="1" x14ac:dyDescent="0.25"/>
    <row r="391" customFormat="1" ht="15.75" customHeight="1" x14ac:dyDescent="0.25"/>
    <row r="392" customFormat="1" ht="15.75" customHeight="1" x14ac:dyDescent="0.25"/>
    <row r="393" customFormat="1" ht="15.75" customHeight="1" x14ac:dyDescent="0.25"/>
    <row r="394" customFormat="1" ht="15.75" customHeight="1" x14ac:dyDescent="0.25"/>
    <row r="395" customFormat="1" ht="15.75" customHeight="1" x14ac:dyDescent="0.25"/>
    <row r="396" customFormat="1" ht="15.75" customHeight="1" x14ac:dyDescent="0.25"/>
    <row r="397" customFormat="1" ht="15.75" customHeight="1" x14ac:dyDescent="0.25"/>
    <row r="398" customFormat="1" ht="15.75" customHeight="1" x14ac:dyDescent="0.25"/>
    <row r="399" customFormat="1" ht="15.75" customHeight="1" x14ac:dyDescent="0.25"/>
    <row r="400" customFormat="1" ht="15.75" customHeight="1" x14ac:dyDescent="0.25"/>
    <row r="401" customFormat="1" ht="15.75" customHeight="1" x14ac:dyDescent="0.25"/>
    <row r="402" customFormat="1" ht="15.75" customHeight="1" x14ac:dyDescent="0.25"/>
    <row r="403" customFormat="1" ht="15.75" customHeight="1" x14ac:dyDescent="0.25"/>
    <row r="404" customFormat="1" ht="15.75" customHeight="1" x14ac:dyDescent="0.25"/>
    <row r="405" customFormat="1" ht="15.75" customHeight="1" x14ac:dyDescent="0.25"/>
    <row r="406" customFormat="1" ht="15.75" customHeight="1" x14ac:dyDescent="0.25"/>
    <row r="407" customFormat="1" ht="15.75" customHeight="1" x14ac:dyDescent="0.25"/>
    <row r="408" customFormat="1" ht="15.75" customHeight="1" x14ac:dyDescent="0.25"/>
    <row r="409" customFormat="1" ht="15.75" customHeight="1" x14ac:dyDescent="0.25"/>
    <row r="410" customFormat="1" ht="15.75" customHeight="1" x14ac:dyDescent="0.25"/>
    <row r="411" customFormat="1" ht="15.75" customHeight="1" x14ac:dyDescent="0.25"/>
    <row r="412" customFormat="1" ht="15.75" customHeight="1" x14ac:dyDescent="0.25"/>
    <row r="413" customFormat="1" ht="15.75" customHeight="1" x14ac:dyDescent="0.25"/>
    <row r="414" customFormat="1" ht="15.75" customHeight="1" x14ac:dyDescent="0.25"/>
    <row r="415" customFormat="1" ht="15.75" customHeight="1" x14ac:dyDescent="0.25"/>
    <row r="416" customFormat="1" ht="15.75" customHeight="1" x14ac:dyDescent="0.25"/>
    <row r="417" customFormat="1" ht="15.75" customHeight="1" x14ac:dyDescent="0.25"/>
    <row r="418" customFormat="1" ht="15.75" customHeight="1" x14ac:dyDescent="0.25"/>
    <row r="419" customFormat="1" ht="15.75" customHeight="1" x14ac:dyDescent="0.25"/>
    <row r="420" customFormat="1" ht="15.75" customHeight="1" x14ac:dyDescent="0.25"/>
    <row r="421" customFormat="1" ht="15.75" customHeight="1" x14ac:dyDescent="0.25"/>
    <row r="422" customFormat="1" ht="15.75" customHeight="1" x14ac:dyDescent="0.25"/>
    <row r="423" customFormat="1" ht="15.75" customHeight="1" x14ac:dyDescent="0.25"/>
    <row r="424" customFormat="1" ht="15.75" customHeight="1" x14ac:dyDescent="0.25"/>
    <row r="425" customFormat="1" ht="15.75" customHeight="1" x14ac:dyDescent="0.25"/>
    <row r="426" customFormat="1" ht="15.75" customHeight="1" x14ac:dyDescent="0.25"/>
    <row r="427" customFormat="1" ht="15.75" customHeight="1" x14ac:dyDescent="0.25"/>
    <row r="428" customFormat="1" ht="15.75" customHeight="1" x14ac:dyDescent="0.25"/>
    <row r="429" customFormat="1" ht="15.75" customHeight="1" x14ac:dyDescent="0.25"/>
    <row r="430" customFormat="1" ht="15.75" customHeight="1" x14ac:dyDescent="0.25"/>
    <row r="431" customFormat="1" ht="15.75" customHeight="1" x14ac:dyDescent="0.25"/>
    <row r="432" customFormat="1" ht="15.75" customHeight="1" x14ac:dyDescent="0.25"/>
    <row r="433" customFormat="1" ht="15.75" customHeight="1" x14ac:dyDescent="0.25"/>
    <row r="434" customFormat="1" ht="15.75" customHeight="1" x14ac:dyDescent="0.25"/>
    <row r="435" customFormat="1" ht="15.75" customHeight="1" x14ac:dyDescent="0.25"/>
    <row r="436" customFormat="1" ht="15.75" customHeight="1" x14ac:dyDescent="0.25"/>
    <row r="437" customFormat="1" ht="15.75" customHeight="1" x14ac:dyDescent="0.25"/>
    <row r="438" customFormat="1" ht="15.75" customHeight="1" x14ac:dyDescent="0.25"/>
    <row r="439" customFormat="1" ht="15.75" customHeight="1" x14ac:dyDescent="0.25"/>
    <row r="440" customFormat="1" ht="15.75" customHeight="1" x14ac:dyDescent="0.25"/>
    <row r="441" customFormat="1" ht="15.75" customHeight="1" x14ac:dyDescent="0.25"/>
    <row r="442" customFormat="1" ht="15.75" customHeight="1" x14ac:dyDescent="0.25"/>
    <row r="443" customFormat="1" ht="15.75" customHeight="1" x14ac:dyDescent="0.25"/>
    <row r="444" customFormat="1" ht="15.75" customHeight="1" x14ac:dyDescent="0.25"/>
    <row r="445" customFormat="1" ht="15.75" customHeight="1" x14ac:dyDescent="0.25"/>
    <row r="446" customFormat="1" ht="15.75" customHeight="1" x14ac:dyDescent="0.25"/>
    <row r="447" customFormat="1" ht="15.75" customHeight="1" x14ac:dyDescent="0.25"/>
    <row r="448" customFormat="1" ht="15.75" customHeight="1" x14ac:dyDescent="0.25"/>
    <row r="449" customFormat="1" ht="15.75" customHeight="1" x14ac:dyDescent="0.25"/>
    <row r="450" customFormat="1" ht="15.75" customHeight="1" x14ac:dyDescent="0.25"/>
    <row r="451" customFormat="1" ht="15.75" customHeight="1" x14ac:dyDescent="0.25"/>
    <row r="452" customFormat="1" ht="15.75" customHeight="1" x14ac:dyDescent="0.25"/>
    <row r="453" customFormat="1" ht="15.75" customHeight="1" x14ac:dyDescent="0.25"/>
    <row r="454" customFormat="1" ht="15.75" customHeight="1" x14ac:dyDescent="0.25"/>
    <row r="455" customFormat="1" ht="15.75" customHeight="1" x14ac:dyDescent="0.25"/>
    <row r="456" customFormat="1" ht="15.75" customHeight="1" x14ac:dyDescent="0.25"/>
    <row r="457" customFormat="1" ht="15.75" customHeight="1" x14ac:dyDescent="0.25"/>
    <row r="458" customFormat="1" ht="15.75" customHeight="1" x14ac:dyDescent="0.25"/>
    <row r="459" customFormat="1" ht="15.75" customHeight="1" x14ac:dyDescent="0.25"/>
    <row r="460" customFormat="1" ht="15.75" customHeight="1" x14ac:dyDescent="0.25"/>
    <row r="461" customFormat="1" ht="15.75" customHeight="1" x14ac:dyDescent="0.25"/>
    <row r="462" customFormat="1" ht="15.75" customHeight="1" x14ac:dyDescent="0.25"/>
    <row r="463" customFormat="1" ht="15.75" customHeight="1" x14ac:dyDescent="0.25"/>
    <row r="464" customFormat="1" ht="15.75" customHeight="1" x14ac:dyDescent="0.25"/>
    <row r="465" customFormat="1" ht="15.75" customHeight="1" x14ac:dyDescent="0.25"/>
    <row r="466" customFormat="1" ht="15.75" customHeight="1" x14ac:dyDescent="0.25"/>
    <row r="467" customFormat="1" ht="15.75" customHeight="1" x14ac:dyDescent="0.25"/>
    <row r="468" customFormat="1" ht="15.75" customHeight="1" x14ac:dyDescent="0.25"/>
    <row r="469" customFormat="1" ht="15.75" customHeight="1" x14ac:dyDescent="0.25"/>
    <row r="470" customFormat="1" ht="15.75" customHeight="1" x14ac:dyDescent="0.25"/>
    <row r="471" customFormat="1" ht="15.75" customHeight="1" x14ac:dyDescent="0.25"/>
    <row r="472" customFormat="1" ht="15.75" customHeight="1" x14ac:dyDescent="0.25"/>
    <row r="473" customFormat="1" ht="15.75" customHeight="1" x14ac:dyDescent="0.25"/>
    <row r="474" customFormat="1" ht="15.75" customHeight="1" x14ac:dyDescent="0.25"/>
    <row r="475" customFormat="1" ht="15.75" customHeight="1" x14ac:dyDescent="0.25"/>
    <row r="476" customFormat="1" ht="15.75" customHeight="1" x14ac:dyDescent="0.25"/>
    <row r="477" customFormat="1" ht="15.75" customHeight="1" x14ac:dyDescent="0.25"/>
    <row r="478" customFormat="1" ht="15.75" customHeight="1" x14ac:dyDescent="0.25"/>
    <row r="479" customFormat="1" ht="15.75" customHeight="1" x14ac:dyDescent="0.25"/>
    <row r="480" customFormat="1" ht="15.75" customHeight="1" x14ac:dyDescent="0.25"/>
    <row r="481" customFormat="1" ht="15.75" customHeight="1" x14ac:dyDescent="0.25"/>
    <row r="482" customFormat="1" ht="15.75" customHeight="1" x14ac:dyDescent="0.25"/>
    <row r="483" customFormat="1" ht="15.75" customHeight="1" x14ac:dyDescent="0.25"/>
    <row r="484" customFormat="1" ht="15.75" customHeight="1" x14ac:dyDescent="0.25"/>
    <row r="485" customFormat="1" ht="15.75" customHeight="1" x14ac:dyDescent="0.25"/>
    <row r="486" customFormat="1" ht="15.75" customHeight="1" x14ac:dyDescent="0.25"/>
    <row r="487" customFormat="1" ht="15.75" customHeight="1" x14ac:dyDescent="0.25"/>
    <row r="488" customFormat="1" ht="15.75" customHeight="1" x14ac:dyDescent="0.25"/>
    <row r="489" customFormat="1" ht="15.75" customHeight="1" x14ac:dyDescent="0.25"/>
    <row r="490" customFormat="1" ht="15.75" customHeight="1" x14ac:dyDescent="0.25"/>
    <row r="491" customFormat="1" ht="15.75" customHeight="1" x14ac:dyDescent="0.25"/>
    <row r="492" customFormat="1" ht="15.75" customHeight="1" x14ac:dyDescent="0.25"/>
    <row r="493" customFormat="1" ht="15.75" customHeight="1" x14ac:dyDescent="0.25"/>
    <row r="494" customFormat="1" ht="15.75" customHeight="1" x14ac:dyDescent="0.25"/>
    <row r="495" customFormat="1" ht="15.75" customHeight="1" x14ac:dyDescent="0.25"/>
    <row r="496" customFormat="1" ht="15.75" customHeight="1" x14ac:dyDescent="0.25"/>
    <row r="497" customFormat="1" ht="15.75" customHeight="1" x14ac:dyDescent="0.25"/>
    <row r="498" customFormat="1" ht="15.75" customHeight="1" x14ac:dyDescent="0.25"/>
    <row r="499" customFormat="1" ht="15.75" customHeight="1" x14ac:dyDescent="0.25"/>
    <row r="500" customFormat="1" ht="15.75" customHeight="1" x14ac:dyDescent="0.25"/>
    <row r="501" customFormat="1" ht="15.75" customHeight="1" x14ac:dyDescent="0.25"/>
    <row r="502" customFormat="1" ht="15.75" customHeight="1" x14ac:dyDescent="0.25"/>
    <row r="503" customFormat="1" ht="15.75" customHeight="1" x14ac:dyDescent="0.25"/>
    <row r="504" customFormat="1" ht="15.75" customHeight="1" x14ac:dyDescent="0.25"/>
    <row r="505" customFormat="1" ht="15.75" customHeight="1" x14ac:dyDescent="0.25"/>
    <row r="506" customFormat="1" ht="15.75" customHeight="1" x14ac:dyDescent="0.25"/>
    <row r="507" customFormat="1" ht="15.75" customHeight="1" x14ac:dyDescent="0.25"/>
    <row r="508" customFormat="1" ht="15.75" customHeight="1" x14ac:dyDescent="0.25"/>
    <row r="509" customFormat="1" ht="15.75" customHeight="1" x14ac:dyDescent="0.25"/>
    <row r="510" customFormat="1" ht="15.75" customHeight="1" x14ac:dyDescent="0.25"/>
    <row r="511" customFormat="1" ht="15.75" customHeight="1" x14ac:dyDescent="0.25"/>
    <row r="512" customFormat="1" ht="15.75" customHeight="1" x14ac:dyDescent="0.25"/>
    <row r="513" customFormat="1" ht="15.75" customHeight="1" x14ac:dyDescent="0.25"/>
    <row r="514" customFormat="1" ht="15.75" customHeight="1" x14ac:dyDescent="0.25"/>
    <row r="515" customFormat="1" ht="15.75" customHeight="1" x14ac:dyDescent="0.25"/>
    <row r="516" customFormat="1" ht="15.75" customHeight="1" x14ac:dyDescent="0.25"/>
    <row r="517" customFormat="1" ht="15.75" customHeight="1" x14ac:dyDescent="0.25"/>
    <row r="518" customFormat="1" ht="15.75" customHeight="1" x14ac:dyDescent="0.25"/>
    <row r="519" customFormat="1" ht="15.75" customHeight="1" x14ac:dyDescent="0.25"/>
    <row r="520" customFormat="1" ht="15.75" customHeight="1" x14ac:dyDescent="0.25"/>
    <row r="521" customFormat="1" ht="15.75" customHeight="1" x14ac:dyDescent="0.25"/>
    <row r="522" customFormat="1" ht="15.75" customHeight="1" x14ac:dyDescent="0.25"/>
    <row r="523" customFormat="1" ht="15.75" customHeight="1" x14ac:dyDescent="0.25"/>
    <row r="524" customFormat="1" ht="15.75" customHeight="1" x14ac:dyDescent="0.25"/>
    <row r="525" customFormat="1" ht="15.75" customHeight="1" x14ac:dyDescent="0.25"/>
    <row r="526" customFormat="1" ht="15.75" customHeight="1" x14ac:dyDescent="0.25"/>
    <row r="527" customFormat="1" ht="15.75" customHeight="1" x14ac:dyDescent="0.25"/>
    <row r="528" customFormat="1" ht="15.75" customHeight="1" x14ac:dyDescent="0.25"/>
    <row r="529" customFormat="1" ht="15.75" customHeight="1" x14ac:dyDescent="0.25"/>
    <row r="530" customFormat="1" ht="15.75" customHeight="1" x14ac:dyDescent="0.25"/>
    <row r="531" customFormat="1" ht="15.75" customHeight="1" x14ac:dyDescent="0.25"/>
    <row r="532" customFormat="1" ht="15.75" customHeight="1" x14ac:dyDescent="0.25"/>
    <row r="533" customFormat="1" ht="15.75" customHeight="1" x14ac:dyDescent="0.25"/>
    <row r="534" customFormat="1" ht="15.75" customHeight="1" x14ac:dyDescent="0.25"/>
    <row r="535" customFormat="1" ht="15.75" customHeight="1" x14ac:dyDescent="0.25"/>
    <row r="536" customFormat="1" ht="15.75" customHeight="1" x14ac:dyDescent="0.25"/>
    <row r="537" customFormat="1" ht="15.75" customHeight="1" x14ac:dyDescent="0.25"/>
    <row r="538" customFormat="1" ht="15.75" customHeight="1" x14ac:dyDescent="0.25"/>
    <row r="539" customFormat="1" ht="15.75" customHeight="1" x14ac:dyDescent="0.25"/>
    <row r="540" customFormat="1" ht="15.75" customHeight="1" x14ac:dyDescent="0.25"/>
    <row r="541" customFormat="1" ht="15.75" customHeight="1" x14ac:dyDescent="0.25"/>
    <row r="542" customFormat="1" ht="15.75" customHeight="1" x14ac:dyDescent="0.25"/>
    <row r="543" customFormat="1" ht="15.75" customHeight="1" x14ac:dyDescent="0.25"/>
    <row r="544" customFormat="1" ht="15.75" customHeight="1" x14ac:dyDescent="0.25"/>
    <row r="545" customFormat="1" ht="15.75" customHeight="1" x14ac:dyDescent="0.25"/>
    <row r="546" customFormat="1" ht="15.75" customHeight="1" x14ac:dyDescent="0.25"/>
    <row r="547" customFormat="1" ht="15.75" customHeight="1" x14ac:dyDescent="0.25"/>
    <row r="548" customFormat="1" ht="15.75" customHeight="1" x14ac:dyDescent="0.25"/>
    <row r="549" customFormat="1" ht="15.75" customHeight="1" x14ac:dyDescent="0.25"/>
    <row r="550" customFormat="1" ht="15.75" customHeight="1" x14ac:dyDescent="0.25"/>
    <row r="551" customFormat="1" ht="15.75" customHeight="1" x14ac:dyDescent="0.25"/>
    <row r="552" customFormat="1" ht="15.75" customHeight="1" x14ac:dyDescent="0.25"/>
    <row r="553" customFormat="1" ht="15.75" customHeight="1" x14ac:dyDescent="0.25"/>
    <row r="554" customFormat="1" ht="15.75" customHeight="1" x14ac:dyDescent="0.25"/>
    <row r="555" customFormat="1" ht="15.75" customHeight="1" x14ac:dyDescent="0.25"/>
    <row r="556" customFormat="1" ht="15.75" customHeight="1" x14ac:dyDescent="0.25"/>
    <row r="557" customFormat="1" ht="15.75" customHeight="1" x14ac:dyDescent="0.25"/>
    <row r="558" customFormat="1" ht="15.75" customHeight="1" x14ac:dyDescent="0.25"/>
    <row r="559" customFormat="1" ht="15.75" customHeight="1" x14ac:dyDescent="0.25"/>
    <row r="560" customFormat="1" ht="15.75" customHeight="1" x14ac:dyDescent="0.25"/>
    <row r="561" customFormat="1" ht="15.75" customHeight="1" x14ac:dyDescent="0.25"/>
    <row r="562" customFormat="1" ht="15.75" customHeight="1" x14ac:dyDescent="0.25"/>
    <row r="563" customFormat="1" ht="15.75" customHeight="1" x14ac:dyDescent="0.25"/>
    <row r="564" customFormat="1" ht="15.75" customHeight="1" x14ac:dyDescent="0.25"/>
    <row r="565" customFormat="1" ht="15.75" customHeight="1" x14ac:dyDescent="0.25"/>
    <row r="566" customFormat="1" ht="15.75" customHeight="1" x14ac:dyDescent="0.25"/>
    <row r="567" customFormat="1" ht="15.75" customHeight="1" x14ac:dyDescent="0.25"/>
    <row r="568" customFormat="1" ht="15.75" customHeight="1" x14ac:dyDescent="0.25"/>
    <row r="569" customFormat="1" ht="15.75" customHeight="1" x14ac:dyDescent="0.25"/>
    <row r="570" customFormat="1" ht="15.75" customHeight="1" x14ac:dyDescent="0.25"/>
    <row r="571" customFormat="1" ht="15.75" customHeight="1" x14ac:dyDescent="0.25"/>
    <row r="572" customFormat="1" ht="15.75" customHeight="1" x14ac:dyDescent="0.25"/>
    <row r="573" customFormat="1" ht="15.75" customHeight="1" x14ac:dyDescent="0.25"/>
    <row r="574" customFormat="1" ht="15.75" customHeight="1" x14ac:dyDescent="0.25"/>
    <row r="575" customFormat="1" ht="15.75" customHeight="1" x14ac:dyDescent="0.25"/>
    <row r="576" customFormat="1" ht="15.75" customHeight="1" x14ac:dyDescent="0.25"/>
    <row r="577" customFormat="1" ht="15.75" customHeight="1" x14ac:dyDescent="0.25"/>
    <row r="578" customFormat="1" ht="15.75" customHeight="1" x14ac:dyDescent="0.25"/>
    <row r="579" customFormat="1" ht="15.75" customHeight="1" x14ac:dyDescent="0.25"/>
    <row r="580" customFormat="1" ht="15.75" customHeight="1" x14ac:dyDescent="0.25"/>
    <row r="581" customFormat="1" ht="15.75" customHeight="1" x14ac:dyDescent="0.25"/>
    <row r="582" customFormat="1" ht="15.75" customHeight="1" x14ac:dyDescent="0.25"/>
    <row r="583" customFormat="1" ht="15.75" customHeight="1" x14ac:dyDescent="0.25"/>
    <row r="584" customFormat="1" ht="15.75" customHeight="1" x14ac:dyDescent="0.25"/>
    <row r="585" customFormat="1" ht="15.75" customHeight="1" x14ac:dyDescent="0.25"/>
    <row r="586" customFormat="1" ht="15.75" customHeight="1" x14ac:dyDescent="0.25"/>
    <row r="587" customFormat="1" ht="15.75" customHeight="1" x14ac:dyDescent="0.25"/>
    <row r="588" customFormat="1" ht="15.75" customHeight="1" x14ac:dyDescent="0.25"/>
    <row r="589" customFormat="1" ht="15.75" customHeight="1" x14ac:dyDescent="0.25"/>
    <row r="590" customFormat="1" ht="15.75" customHeight="1" x14ac:dyDescent="0.25"/>
    <row r="591" customFormat="1" ht="15.75" customHeight="1" x14ac:dyDescent="0.25"/>
    <row r="592" customFormat="1" ht="15.75" customHeight="1" x14ac:dyDescent="0.25"/>
    <row r="593" customFormat="1" ht="15.75" customHeight="1" x14ac:dyDescent="0.25"/>
    <row r="594" customFormat="1" ht="15.75" customHeight="1" x14ac:dyDescent="0.25"/>
    <row r="595" customFormat="1" ht="15.75" customHeight="1" x14ac:dyDescent="0.25"/>
    <row r="596" customFormat="1" ht="15.75" customHeight="1" x14ac:dyDescent="0.25"/>
    <row r="597" customFormat="1" ht="15.75" customHeight="1" x14ac:dyDescent="0.25"/>
    <row r="598" customFormat="1" ht="15.75" customHeight="1" x14ac:dyDescent="0.25"/>
    <row r="599" customFormat="1" ht="15.75" customHeight="1" x14ac:dyDescent="0.25"/>
    <row r="600" customFormat="1" ht="15.75" customHeight="1" x14ac:dyDescent="0.25"/>
    <row r="601" customFormat="1" ht="15.75" customHeight="1" x14ac:dyDescent="0.25"/>
    <row r="602" customFormat="1" ht="15.75" customHeight="1" x14ac:dyDescent="0.25"/>
    <row r="603" customFormat="1" ht="15.75" customHeight="1" x14ac:dyDescent="0.25"/>
    <row r="604" customFormat="1" ht="15.75" customHeight="1" x14ac:dyDescent="0.25"/>
    <row r="605" customFormat="1" ht="15.75" customHeight="1" x14ac:dyDescent="0.25"/>
    <row r="606" customFormat="1" ht="15.75" customHeight="1" x14ac:dyDescent="0.25"/>
    <row r="607" customFormat="1" ht="15.75" customHeight="1" x14ac:dyDescent="0.25"/>
    <row r="608" customFormat="1" ht="15.75" customHeight="1" x14ac:dyDescent="0.25"/>
    <row r="609" customFormat="1" ht="15.75" customHeight="1" x14ac:dyDescent="0.25"/>
    <row r="610" customFormat="1" ht="15.75" customHeight="1" x14ac:dyDescent="0.25"/>
    <row r="611" customFormat="1" ht="15.75" customHeight="1" x14ac:dyDescent="0.25"/>
    <row r="612" customFormat="1" ht="15.75" customHeight="1" x14ac:dyDescent="0.25"/>
    <row r="613" customFormat="1" ht="15.75" customHeight="1" x14ac:dyDescent="0.25"/>
    <row r="614" customFormat="1" ht="15.75" customHeight="1" x14ac:dyDescent="0.25"/>
    <row r="615" customFormat="1" ht="15.75" customHeight="1" x14ac:dyDescent="0.25"/>
    <row r="616" customFormat="1" ht="15.75" customHeight="1" x14ac:dyDescent="0.25"/>
    <row r="617" customFormat="1" ht="15.75" customHeight="1" x14ac:dyDescent="0.25"/>
    <row r="618" customFormat="1" ht="15.75" customHeight="1" x14ac:dyDescent="0.25"/>
    <row r="619" customFormat="1" ht="15.75" customHeight="1" x14ac:dyDescent="0.25"/>
    <row r="620" customFormat="1" ht="15.75" customHeight="1" x14ac:dyDescent="0.25"/>
    <row r="621" customFormat="1" ht="15.75" customHeight="1" x14ac:dyDescent="0.25"/>
    <row r="622" customFormat="1" ht="15.75" customHeight="1" x14ac:dyDescent="0.25"/>
    <row r="623" customFormat="1" ht="15.75" customHeight="1" x14ac:dyDescent="0.25"/>
    <row r="624" customFormat="1" ht="15.75" customHeight="1" x14ac:dyDescent="0.25"/>
    <row r="625" customFormat="1" ht="15.75" customHeight="1" x14ac:dyDescent="0.25"/>
    <row r="626" customFormat="1" ht="15.75" customHeight="1" x14ac:dyDescent="0.25"/>
    <row r="627" customFormat="1" ht="15.75" customHeight="1" x14ac:dyDescent="0.25"/>
    <row r="628" customFormat="1" ht="15.75" customHeight="1" x14ac:dyDescent="0.25"/>
    <row r="629" customFormat="1" ht="15.75" customHeight="1" x14ac:dyDescent="0.25"/>
    <row r="630" customFormat="1" ht="15.75" customHeight="1" x14ac:dyDescent="0.25"/>
    <row r="631" customFormat="1" ht="15.75" customHeight="1" x14ac:dyDescent="0.25"/>
    <row r="632" customFormat="1" ht="15.75" customHeight="1" x14ac:dyDescent="0.25"/>
    <row r="633" customFormat="1" ht="15.75" customHeight="1" x14ac:dyDescent="0.25"/>
    <row r="634" customFormat="1" ht="15.75" customHeight="1" x14ac:dyDescent="0.25"/>
    <row r="635" customFormat="1" ht="15.75" customHeight="1" x14ac:dyDescent="0.25"/>
    <row r="636" customFormat="1" ht="15.75" customHeight="1" x14ac:dyDescent="0.25"/>
    <row r="637" customFormat="1" ht="15.75" customHeight="1" x14ac:dyDescent="0.25"/>
    <row r="638" customFormat="1" ht="15.75" customHeight="1" x14ac:dyDescent="0.25"/>
    <row r="639" customFormat="1" ht="15.75" customHeight="1" x14ac:dyDescent="0.25"/>
    <row r="640" customFormat="1" ht="15.75" customHeight="1" x14ac:dyDescent="0.25"/>
    <row r="641" customFormat="1" ht="15.75" customHeight="1" x14ac:dyDescent="0.25"/>
    <row r="642" customFormat="1" ht="15.75" customHeight="1" x14ac:dyDescent="0.25"/>
    <row r="643" customFormat="1" ht="15.75" customHeight="1" x14ac:dyDescent="0.25"/>
    <row r="644" customFormat="1" ht="15.75" customHeight="1" x14ac:dyDescent="0.25"/>
    <row r="645" customFormat="1" ht="15.75" customHeight="1" x14ac:dyDescent="0.25"/>
    <row r="646" customFormat="1" ht="15.75" customHeight="1" x14ac:dyDescent="0.25"/>
    <row r="647" customFormat="1" ht="15.75" customHeight="1" x14ac:dyDescent="0.25"/>
    <row r="648" customFormat="1" ht="15.75" customHeight="1" x14ac:dyDescent="0.25"/>
    <row r="649" customFormat="1" ht="15.75" customHeight="1" x14ac:dyDescent="0.25"/>
    <row r="650" customFormat="1" ht="15.75" customHeight="1" x14ac:dyDescent="0.25"/>
    <row r="651" customFormat="1" ht="15.75" customHeight="1" x14ac:dyDescent="0.25"/>
    <row r="652" customFormat="1" ht="15.75" customHeight="1" x14ac:dyDescent="0.25"/>
    <row r="653" customFormat="1" ht="15.75" customHeight="1" x14ac:dyDescent="0.25"/>
    <row r="654" customFormat="1" ht="15.75" customHeight="1" x14ac:dyDescent="0.25"/>
    <row r="655" customFormat="1" ht="15.75" customHeight="1" x14ac:dyDescent="0.25"/>
    <row r="656" customFormat="1" ht="15.75" customHeight="1" x14ac:dyDescent="0.25"/>
    <row r="657" customFormat="1" ht="15.75" customHeight="1" x14ac:dyDescent="0.25"/>
    <row r="658" customFormat="1" ht="15.75" customHeight="1" x14ac:dyDescent="0.25"/>
    <row r="659" customFormat="1" ht="15.75" customHeight="1" x14ac:dyDescent="0.25"/>
    <row r="660" customFormat="1" ht="15.75" customHeight="1" x14ac:dyDescent="0.25"/>
    <row r="661" customFormat="1" ht="15.75" customHeight="1" x14ac:dyDescent="0.25"/>
    <row r="662" customFormat="1" ht="15.75" customHeight="1" x14ac:dyDescent="0.25"/>
    <row r="663" customFormat="1" ht="15.75" customHeight="1" x14ac:dyDescent="0.25"/>
    <row r="664" customFormat="1" ht="15.75" customHeight="1" x14ac:dyDescent="0.25"/>
    <row r="665" customFormat="1" ht="15.75" customHeight="1" x14ac:dyDescent="0.25"/>
    <row r="666" customFormat="1" ht="15.75" customHeight="1" x14ac:dyDescent="0.25"/>
    <row r="667" customFormat="1" ht="15.75" customHeight="1" x14ac:dyDescent="0.25"/>
    <row r="668" customFormat="1" ht="15.75" customHeight="1" x14ac:dyDescent="0.25"/>
    <row r="669" customFormat="1" ht="15.75" customHeight="1" x14ac:dyDescent="0.25"/>
    <row r="670" customFormat="1" ht="15.75" customHeight="1" x14ac:dyDescent="0.25"/>
    <row r="671" customFormat="1" ht="15.75" customHeight="1" x14ac:dyDescent="0.25"/>
    <row r="672" customFormat="1" ht="15.75" customHeight="1" x14ac:dyDescent="0.25"/>
    <row r="673" customFormat="1" ht="15.75" customHeight="1" x14ac:dyDescent="0.25"/>
    <row r="674" customFormat="1" ht="15.75" customHeight="1" x14ac:dyDescent="0.25"/>
    <row r="675" customFormat="1" ht="15.75" customHeight="1" x14ac:dyDescent="0.25"/>
    <row r="676" customFormat="1" ht="15.75" customHeight="1" x14ac:dyDescent="0.25"/>
    <row r="677" customFormat="1" ht="15.75" customHeight="1" x14ac:dyDescent="0.25"/>
    <row r="678" customFormat="1" ht="15.75" customHeight="1" x14ac:dyDescent="0.25"/>
    <row r="679" customFormat="1" ht="15.75" customHeight="1" x14ac:dyDescent="0.25"/>
    <row r="680" customFormat="1" ht="15.75" customHeight="1" x14ac:dyDescent="0.25"/>
    <row r="681" customFormat="1" ht="15.75" customHeight="1" x14ac:dyDescent="0.25"/>
    <row r="682" customFormat="1" ht="15.75" customHeight="1" x14ac:dyDescent="0.25"/>
    <row r="683" customFormat="1" ht="15.75" customHeight="1" x14ac:dyDescent="0.25"/>
    <row r="684" customFormat="1" ht="15.75" customHeight="1" x14ac:dyDescent="0.25"/>
    <row r="685" customFormat="1" ht="15.75" customHeight="1" x14ac:dyDescent="0.25"/>
    <row r="686" customFormat="1" ht="15.75" customHeight="1" x14ac:dyDescent="0.25"/>
    <row r="687" customFormat="1" ht="15.75" customHeight="1" x14ac:dyDescent="0.25"/>
    <row r="688" customFormat="1" ht="15.75" customHeight="1" x14ac:dyDescent="0.25"/>
    <row r="689" customFormat="1" ht="15.75" customHeight="1" x14ac:dyDescent="0.25"/>
    <row r="690" customFormat="1" ht="15.75" customHeight="1" x14ac:dyDescent="0.25"/>
    <row r="691" customFormat="1" ht="15.75" customHeight="1" x14ac:dyDescent="0.25"/>
    <row r="692" customFormat="1" ht="15.75" customHeight="1" x14ac:dyDescent="0.25"/>
    <row r="693" customFormat="1" ht="15.75" customHeight="1" x14ac:dyDescent="0.25"/>
    <row r="694" customFormat="1" ht="15.75" customHeight="1" x14ac:dyDescent="0.25"/>
    <row r="695" customFormat="1" ht="15.75" customHeight="1" x14ac:dyDescent="0.25"/>
    <row r="696" customFormat="1" ht="15.75" customHeight="1" x14ac:dyDescent="0.25"/>
    <row r="697" customFormat="1" ht="15.75" customHeight="1" x14ac:dyDescent="0.25"/>
    <row r="698" customFormat="1" ht="15.75" customHeight="1" x14ac:dyDescent="0.25"/>
    <row r="699" customFormat="1" ht="15.75" customHeight="1" x14ac:dyDescent="0.25"/>
    <row r="700" customFormat="1" ht="15.75" customHeight="1" x14ac:dyDescent="0.25"/>
    <row r="701" customFormat="1" ht="15.75" customHeight="1" x14ac:dyDescent="0.25"/>
    <row r="702" customFormat="1" ht="15.75" customHeight="1" x14ac:dyDescent="0.25"/>
    <row r="703" customFormat="1" ht="15.75" customHeight="1" x14ac:dyDescent="0.25"/>
    <row r="704" customFormat="1" ht="15.75" customHeight="1" x14ac:dyDescent="0.25"/>
    <row r="705" customFormat="1" ht="15.75" customHeight="1" x14ac:dyDescent="0.25"/>
    <row r="706" customFormat="1" ht="15.75" customHeight="1" x14ac:dyDescent="0.25"/>
    <row r="707" customFormat="1" ht="15.75" customHeight="1" x14ac:dyDescent="0.25"/>
    <row r="708" customFormat="1" ht="15.75" customHeight="1" x14ac:dyDescent="0.25"/>
    <row r="709" customFormat="1" ht="15.75" customHeight="1" x14ac:dyDescent="0.25"/>
    <row r="710" customFormat="1" ht="15.75" customHeight="1" x14ac:dyDescent="0.25"/>
    <row r="711" customFormat="1" ht="15.75" customHeight="1" x14ac:dyDescent="0.25"/>
    <row r="712" customFormat="1" ht="15.75" customHeight="1" x14ac:dyDescent="0.25"/>
    <row r="713" customFormat="1" ht="15.75" customHeight="1" x14ac:dyDescent="0.25"/>
    <row r="714" customFormat="1" ht="15.75" customHeight="1" x14ac:dyDescent="0.25"/>
    <row r="715" customFormat="1" ht="15.75" customHeight="1" x14ac:dyDescent="0.25"/>
    <row r="716" customFormat="1" ht="15.75" customHeight="1" x14ac:dyDescent="0.25"/>
    <row r="717" customFormat="1" ht="15.75" customHeight="1" x14ac:dyDescent="0.25"/>
    <row r="718" customFormat="1" ht="15.75" customHeight="1" x14ac:dyDescent="0.25"/>
    <row r="719" customFormat="1" ht="15.75" customHeight="1" x14ac:dyDescent="0.25"/>
    <row r="720" customFormat="1" ht="15.75" customHeight="1" x14ac:dyDescent="0.25"/>
    <row r="721" customFormat="1" ht="15.75" customHeight="1" x14ac:dyDescent="0.25"/>
    <row r="722" customFormat="1" ht="15.75" customHeight="1" x14ac:dyDescent="0.25"/>
    <row r="723" customFormat="1" ht="15.75" customHeight="1" x14ac:dyDescent="0.25"/>
    <row r="724" customFormat="1" ht="15.75" customHeight="1" x14ac:dyDescent="0.25"/>
    <row r="725" customFormat="1" ht="15.75" customHeight="1" x14ac:dyDescent="0.25"/>
    <row r="726" customFormat="1" ht="15.75" customHeight="1" x14ac:dyDescent="0.25"/>
    <row r="727" customFormat="1" ht="15.75" customHeight="1" x14ac:dyDescent="0.25"/>
    <row r="728" customFormat="1" ht="15.75" customHeight="1" x14ac:dyDescent="0.25"/>
    <row r="729" customFormat="1" ht="15.75" customHeight="1" x14ac:dyDescent="0.25"/>
    <row r="730" customFormat="1" ht="15.75" customHeight="1" x14ac:dyDescent="0.25"/>
    <row r="731" customFormat="1" ht="15.75" customHeight="1" x14ac:dyDescent="0.25"/>
    <row r="732" customFormat="1" ht="15.75" customHeight="1" x14ac:dyDescent="0.25"/>
    <row r="733" customFormat="1" ht="15.75" customHeight="1" x14ac:dyDescent="0.25"/>
    <row r="734" customFormat="1" ht="15.75" customHeight="1" x14ac:dyDescent="0.25"/>
    <row r="735" customFormat="1" ht="15.75" customHeight="1" x14ac:dyDescent="0.25"/>
    <row r="736" customFormat="1" ht="15.75" customHeight="1" x14ac:dyDescent="0.25"/>
    <row r="737" customFormat="1" ht="15.75" customHeight="1" x14ac:dyDescent="0.25"/>
    <row r="738" customFormat="1" ht="15.75" customHeight="1" x14ac:dyDescent="0.25"/>
    <row r="739" customFormat="1" ht="15.75" customHeight="1" x14ac:dyDescent="0.25"/>
    <row r="740" customFormat="1" ht="15.75" customHeight="1" x14ac:dyDescent="0.25"/>
    <row r="741" customFormat="1" ht="15.75" customHeight="1" x14ac:dyDescent="0.25"/>
    <row r="742" customFormat="1" ht="15.75" customHeight="1" x14ac:dyDescent="0.25"/>
    <row r="743" customFormat="1" ht="15.75" customHeight="1" x14ac:dyDescent="0.25"/>
    <row r="744" customFormat="1" ht="15.75" customHeight="1" x14ac:dyDescent="0.25"/>
    <row r="745" customFormat="1" ht="15.75" customHeight="1" x14ac:dyDescent="0.25"/>
    <row r="746" customFormat="1" ht="15.75" customHeight="1" x14ac:dyDescent="0.25"/>
    <row r="747" customFormat="1" ht="15.75" customHeight="1" x14ac:dyDescent="0.25"/>
    <row r="748" customFormat="1" ht="15.75" customHeight="1" x14ac:dyDescent="0.25"/>
    <row r="749" customFormat="1" ht="15.75" customHeight="1" x14ac:dyDescent="0.25"/>
    <row r="750" customFormat="1" ht="15.75" customHeight="1" x14ac:dyDescent="0.25"/>
    <row r="751" customFormat="1" ht="15.75" customHeight="1" x14ac:dyDescent="0.25"/>
    <row r="752" customFormat="1" ht="15.75" customHeight="1" x14ac:dyDescent="0.25"/>
    <row r="753" customFormat="1" ht="15.75" customHeight="1" x14ac:dyDescent="0.25"/>
    <row r="754" customFormat="1" ht="15.75" customHeight="1" x14ac:dyDescent="0.25"/>
    <row r="755" customFormat="1" ht="15.75" customHeight="1" x14ac:dyDescent="0.25"/>
    <row r="756" customFormat="1" ht="15.75" customHeight="1" x14ac:dyDescent="0.25"/>
    <row r="757" customFormat="1" ht="15.75" customHeight="1" x14ac:dyDescent="0.25"/>
    <row r="758" customFormat="1" ht="15.75" customHeight="1" x14ac:dyDescent="0.25"/>
    <row r="759" customFormat="1" ht="15.75" customHeight="1" x14ac:dyDescent="0.25"/>
    <row r="760" customFormat="1" ht="15.75" customHeight="1" x14ac:dyDescent="0.25"/>
    <row r="761" customFormat="1" ht="15.75" customHeight="1" x14ac:dyDescent="0.25"/>
    <row r="762" customFormat="1" ht="15.75" customHeight="1" x14ac:dyDescent="0.25"/>
    <row r="763" customFormat="1" ht="15.75" customHeight="1" x14ac:dyDescent="0.25"/>
    <row r="764" customFormat="1" ht="15.75" customHeight="1" x14ac:dyDescent="0.25"/>
    <row r="765" customFormat="1" ht="15.75" customHeight="1" x14ac:dyDescent="0.25"/>
    <row r="766" customFormat="1" ht="15.75" customHeight="1" x14ac:dyDescent="0.25"/>
    <row r="767" customFormat="1" ht="15.75" customHeight="1" x14ac:dyDescent="0.25"/>
    <row r="768" customFormat="1" ht="15.75" customHeight="1" x14ac:dyDescent="0.25"/>
    <row r="769" customFormat="1" ht="15.75" customHeight="1" x14ac:dyDescent="0.25"/>
    <row r="770" customFormat="1" ht="15.75" customHeight="1" x14ac:dyDescent="0.25"/>
    <row r="771" customFormat="1" ht="15.75" customHeight="1" x14ac:dyDescent="0.25"/>
    <row r="772" customFormat="1" ht="15.75" customHeight="1" x14ac:dyDescent="0.25"/>
    <row r="773" customFormat="1" ht="15.75" customHeight="1" x14ac:dyDescent="0.25"/>
    <row r="774" customFormat="1" ht="15.75" customHeight="1" x14ac:dyDescent="0.25"/>
    <row r="775" customFormat="1" ht="15.75" customHeight="1" x14ac:dyDescent="0.25"/>
    <row r="776" customFormat="1" ht="15.75" customHeight="1" x14ac:dyDescent="0.25"/>
    <row r="777" customFormat="1" ht="15.75" customHeight="1" x14ac:dyDescent="0.25"/>
    <row r="778" customFormat="1" ht="15.75" customHeight="1" x14ac:dyDescent="0.25"/>
    <row r="779" customFormat="1" ht="15.75" customHeight="1" x14ac:dyDescent="0.25"/>
    <row r="780" customFormat="1" ht="15.75" customHeight="1" x14ac:dyDescent="0.25"/>
    <row r="781" customFormat="1" ht="15.75" customHeight="1" x14ac:dyDescent="0.25"/>
    <row r="782" customFormat="1" ht="15.75" customHeight="1" x14ac:dyDescent="0.25"/>
    <row r="783" customFormat="1" ht="15.75" customHeight="1" x14ac:dyDescent="0.25"/>
    <row r="784" customFormat="1" ht="15.75" customHeight="1" x14ac:dyDescent="0.25"/>
    <row r="785" customFormat="1" ht="15.75" customHeight="1" x14ac:dyDescent="0.25"/>
    <row r="786" customFormat="1" ht="15.75" customHeight="1" x14ac:dyDescent="0.25"/>
    <row r="787" customFormat="1" ht="15.75" customHeight="1" x14ac:dyDescent="0.25"/>
    <row r="788" customFormat="1" ht="15.75" customHeight="1" x14ac:dyDescent="0.25"/>
    <row r="789" customFormat="1" ht="15.75" customHeight="1" x14ac:dyDescent="0.25"/>
    <row r="790" customFormat="1" ht="15.75" customHeight="1" x14ac:dyDescent="0.25"/>
    <row r="791" customFormat="1" ht="15.75" customHeight="1" x14ac:dyDescent="0.25"/>
    <row r="792" customFormat="1" ht="15.75" customHeight="1" x14ac:dyDescent="0.25"/>
    <row r="793" customFormat="1" ht="15.75" customHeight="1" x14ac:dyDescent="0.25"/>
    <row r="794" customFormat="1" ht="15.75" customHeight="1" x14ac:dyDescent="0.25"/>
    <row r="795" customFormat="1" ht="15.75" customHeight="1" x14ac:dyDescent="0.25"/>
    <row r="796" customFormat="1" ht="15.75" customHeight="1" x14ac:dyDescent="0.25"/>
    <row r="797" customFormat="1" ht="15.75" customHeight="1" x14ac:dyDescent="0.25"/>
    <row r="798" customFormat="1" ht="15.75" customHeight="1" x14ac:dyDescent="0.25"/>
    <row r="799" customFormat="1" ht="15.75" customHeight="1" x14ac:dyDescent="0.25"/>
    <row r="800" customFormat="1" ht="15.75" customHeight="1" x14ac:dyDescent="0.25"/>
    <row r="801" customFormat="1" ht="15.75" customHeight="1" x14ac:dyDescent="0.25"/>
    <row r="802" customFormat="1" ht="15.75" customHeight="1" x14ac:dyDescent="0.25"/>
    <row r="803" customFormat="1" ht="15.75" customHeight="1" x14ac:dyDescent="0.25"/>
    <row r="804" customFormat="1" ht="15.75" customHeight="1" x14ac:dyDescent="0.25"/>
    <row r="805" customFormat="1" ht="15.75" customHeight="1" x14ac:dyDescent="0.25"/>
    <row r="806" customFormat="1" ht="15.75" customHeight="1" x14ac:dyDescent="0.25"/>
    <row r="807" customFormat="1" ht="15.75" customHeight="1" x14ac:dyDescent="0.25"/>
    <row r="808" customFormat="1" ht="15.75" customHeight="1" x14ac:dyDescent="0.25"/>
    <row r="809" customFormat="1" ht="15.75" customHeight="1" x14ac:dyDescent="0.25"/>
    <row r="810" customFormat="1" ht="15.75" customHeight="1" x14ac:dyDescent="0.25"/>
    <row r="811" customFormat="1" ht="15.75" customHeight="1" x14ac:dyDescent="0.25"/>
    <row r="812" customFormat="1" ht="15.75" customHeight="1" x14ac:dyDescent="0.25"/>
    <row r="813" customFormat="1" ht="15.75" customHeight="1" x14ac:dyDescent="0.25"/>
    <row r="814" customFormat="1" ht="15.75" customHeight="1" x14ac:dyDescent="0.25"/>
    <row r="815" customFormat="1" ht="15.75" customHeight="1" x14ac:dyDescent="0.25"/>
    <row r="816" customFormat="1" ht="15.75" customHeight="1" x14ac:dyDescent="0.25"/>
    <row r="817" customFormat="1" ht="15.75" customHeight="1" x14ac:dyDescent="0.25"/>
    <row r="818" customFormat="1" ht="15.75" customHeight="1" x14ac:dyDescent="0.25"/>
    <row r="819" customFormat="1" ht="15.75" customHeight="1" x14ac:dyDescent="0.25"/>
    <row r="820" customFormat="1" ht="15.75" customHeight="1" x14ac:dyDescent="0.25"/>
    <row r="821" customFormat="1" ht="15.75" customHeight="1" x14ac:dyDescent="0.25"/>
    <row r="822" customFormat="1" ht="15.75" customHeight="1" x14ac:dyDescent="0.25"/>
    <row r="823" customFormat="1" ht="15.75" customHeight="1" x14ac:dyDescent="0.25"/>
    <row r="824" customFormat="1" ht="15.75" customHeight="1" x14ac:dyDescent="0.25"/>
    <row r="825" customFormat="1" ht="15.75" customHeight="1" x14ac:dyDescent="0.25"/>
    <row r="826" customFormat="1" ht="15.75" customHeight="1" x14ac:dyDescent="0.25"/>
    <row r="827" customFormat="1" ht="15.75" customHeight="1" x14ac:dyDescent="0.25"/>
    <row r="828" customFormat="1" ht="15.75" customHeight="1" x14ac:dyDescent="0.25"/>
    <row r="829" customFormat="1" ht="15.75" customHeight="1" x14ac:dyDescent="0.25"/>
    <row r="830" customFormat="1" ht="15.75" customHeight="1" x14ac:dyDescent="0.25"/>
    <row r="831" customFormat="1" ht="15.75" customHeight="1" x14ac:dyDescent="0.25"/>
    <row r="832" customFormat="1" ht="15.75" customHeight="1" x14ac:dyDescent="0.25"/>
    <row r="833" customFormat="1" ht="15.75" customHeight="1" x14ac:dyDescent="0.25"/>
    <row r="834" customFormat="1" ht="15.75" customHeight="1" x14ac:dyDescent="0.25"/>
    <row r="835" customFormat="1" ht="15.75" customHeight="1" x14ac:dyDescent="0.25"/>
    <row r="836" customFormat="1" ht="15.75" customHeight="1" x14ac:dyDescent="0.25"/>
    <row r="837" customFormat="1" ht="15.75" customHeight="1" x14ac:dyDescent="0.25"/>
    <row r="838" customFormat="1" ht="15.75" customHeight="1" x14ac:dyDescent="0.25"/>
    <row r="839" customFormat="1" ht="15.75" customHeight="1" x14ac:dyDescent="0.25"/>
    <row r="840" customFormat="1" ht="15.75" customHeight="1" x14ac:dyDescent="0.25"/>
    <row r="841" customFormat="1" ht="15.75" customHeight="1" x14ac:dyDescent="0.25"/>
    <row r="842" customFormat="1" ht="15.75" customHeight="1" x14ac:dyDescent="0.25"/>
    <row r="843" customFormat="1" ht="15.75" customHeight="1" x14ac:dyDescent="0.25"/>
    <row r="844" customFormat="1" ht="15.75" customHeight="1" x14ac:dyDescent="0.25"/>
    <row r="845" customFormat="1" ht="15.75" customHeight="1" x14ac:dyDescent="0.25"/>
    <row r="846" customFormat="1" ht="15.75" customHeight="1" x14ac:dyDescent="0.25"/>
    <row r="847" customFormat="1" ht="15.75" customHeight="1" x14ac:dyDescent="0.25"/>
    <row r="848" customFormat="1" ht="15.75" customHeight="1" x14ac:dyDescent="0.25"/>
    <row r="849" customFormat="1" ht="15.75" customHeight="1" x14ac:dyDescent="0.25"/>
    <row r="850" customFormat="1" ht="15.75" customHeight="1" x14ac:dyDescent="0.25"/>
    <row r="851" customFormat="1" ht="15.75" customHeight="1" x14ac:dyDescent="0.25"/>
    <row r="852" customFormat="1" ht="15.75" customHeight="1" x14ac:dyDescent="0.25"/>
    <row r="853" customFormat="1" ht="15.75" customHeight="1" x14ac:dyDescent="0.25"/>
    <row r="854" customFormat="1" ht="15.75" customHeight="1" x14ac:dyDescent="0.25"/>
    <row r="855" customFormat="1" ht="15.75" customHeight="1" x14ac:dyDescent="0.25"/>
    <row r="856" customFormat="1" ht="15.75" customHeight="1" x14ac:dyDescent="0.25"/>
    <row r="857" customFormat="1" ht="15.75" customHeight="1" x14ac:dyDescent="0.25"/>
    <row r="858" customFormat="1" ht="15.75" customHeight="1" x14ac:dyDescent="0.25"/>
    <row r="859" customFormat="1" ht="15.75" customHeight="1" x14ac:dyDescent="0.25"/>
    <row r="860" customFormat="1" ht="15.75" customHeight="1" x14ac:dyDescent="0.25"/>
    <row r="861" customFormat="1" ht="15.75" customHeight="1" x14ac:dyDescent="0.25"/>
    <row r="862" customFormat="1" ht="15.75" customHeight="1" x14ac:dyDescent="0.25"/>
    <row r="863" customFormat="1" ht="15.75" customHeight="1" x14ac:dyDescent="0.25"/>
    <row r="864" customFormat="1" ht="15.75" customHeight="1" x14ac:dyDescent="0.25"/>
    <row r="865" customFormat="1" ht="15.75" customHeight="1" x14ac:dyDescent="0.25"/>
    <row r="866" customFormat="1" ht="15.75" customHeight="1" x14ac:dyDescent="0.25"/>
    <row r="867" customFormat="1" ht="15.75" customHeight="1" x14ac:dyDescent="0.25"/>
    <row r="868" customFormat="1" ht="15.75" customHeight="1" x14ac:dyDescent="0.25"/>
    <row r="869" customFormat="1" ht="15.75" customHeight="1" x14ac:dyDescent="0.25"/>
    <row r="870" customFormat="1" ht="15.75" customHeight="1" x14ac:dyDescent="0.25"/>
    <row r="871" customFormat="1" ht="15.75" customHeight="1" x14ac:dyDescent="0.25"/>
    <row r="872" customFormat="1" ht="15.75" customHeight="1" x14ac:dyDescent="0.25"/>
    <row r="873" customFormat="1" ht="15.75" customHeight="1" x14ac:dyDescent="0.25"/>
    <row r="874" customFormat="1" ht="15.75" customHeight="1" x14ac:dyDescent="0.25"/>
    <row r="875" customFormat="1" ht="15.75" customHeight="1" x14ac:dyDescent="0.25"/>
    <row r="876" customFormat="1" ht="15.75" customHeight="1" x14ac:dyDescent="0.25"/>
    <row r="877" customFormat="1" ht="15.75" customHeight="1" x14ac:dyDescent="0.25"/>
    <row r="878" customFormat="1" ht="15.75" customHeight="1" x14ac:dyDescent="0.25"/>
    <row r="879" customFormat="1" ht="15.75" customHeight="1" x14ac:dyDescent="0.25"/>
    <row r="880" customFormat="1" ht="15.75" customHeight="1" x14ac:dyDescent="0.25"/>
    <row r="881" customFormat="1" ht="15.75" customHeight="1" x14ac:dyDescent="0.25"/>
    <row r="882" customFormat="1" ht="15.75" customHeight="1" x14ac:dyDescent="0.25"/>
    <row r="883" customFormat="1" ht="15.75" customHeight="1" x14ac:dyDescent="0.25"/>
    <row r="884" customFormat="1" ht="15.75" customHeight="1" x14ac:dyDescent="0.25"/>
    <row r="885" customFormat="1" ht="15.75" customHeight="1" x14ac:dyDescent="0.25"/>
    <row r="886" customFormat="1" ht="15.75" customHeight="1" x14ac:dyDescent="0.25"/>
    <row r="887" customFormat="1" ht="15.75" customHeight="1" x14ac:dyDescent="0.25"/>
    <row r="888" customFormat="1" ht="15.75" customHeight="1" x14ac:dyDescent="0.25"/>
    <row r="889" customFormat="1" ht="15.75" customHeight="1" x14ac:dyDescent="0.25"/>
    <row r="890" customFormat="1" ht="15.75" customHeight="1" x14ac:dyDescent="0.25"/>
    <row r="891" customFormat="1" ht="15.75" customHeight="1" x14ac:dyDescent="0.25"/>
    <row r="892" customFormat="1" ht="15.75" customHeight="1" x14ac:dyDescent="0.25"/>
    <row r="893" customFormat="1" ht="15.75" customHeight="1" x14ac:dyDescent="0.25"/>
    <row r="894" customFormat="1" ht="15.75" customHeight="1" x14ac:dyDescent="0.25"/>
    <row r="895" customFormat="1" ht="15.75" customHeight="1" x14ac:dyDescent="0.25"/>
    <row r="896" customFormat="1" ht="15.75" customHeight="1" x14ac:dyDescent="0.25"/>
    <row r="897" customFormat="1" ht="15.75" customHeight="1" x14ac:dyDescent="0.25"/>
    <row r="898" customFormat="1" ht="15.75" customHeight="1" x14ac:dyDescent="0.25"/>
    <row r="899" customFormat="1" ht="15.75" customHeight="1" x14ac:dyDescent="0.25"/>
    <row r="900" customFormat="1" ht="15.75" customHeight="1" x14ac:dyDescent="0.25"/>
    <row r="901" customFormat="1" ht="15.75" customHeight="1" x14ac:dyDescent="0.25"/>
    <row r="902" customFormat="1" ht="15.75" customHeight="1" x14ac:dyDescent="0.25"/>
    <row r="903" customFormat="1" ht="15.75" customHeight="1" x14ac:dyDescent="0.25"/>
    <row r="904" customFormat="1" ht="15.75" customHeight="1" x14ac:dyDescent="0.25"/>
    <row r="905" customFormat="1" ht="15.75" customHeight="1" x14ac:dyDescent="0.25"/>
    <row r="906" customFormat="1" ht="15.75" customHeight="1" x14ac:dyDescent="0.25"/>
    <row r="907" customFormat="1" ht="15.75" customHeight="1" x14ac:dyDescent="0.25"/>
    <row r="908" customFormat="1" ht="15.75" customHeight="1" x14ac:dyDescent="0.25"/>
    <row r="909" customFormat="1" ht="15.75" customHeight="1" x14ac:dyDescent="0.25"/>
    <row r="910" customFormat="1" ht="15.75" customHeight="1" x14ac:dyDescent="0.25"/>
    <row r="911" customFormat="1" ht="15.75" customHeight="1" x14ac:dyDescent="0.25"/>
    <row r="912" customFormat="1" ht="15.75" customHeight="1" x14ac:dyDescent="0.25"/>
    <row r="913" customFormat="1" ht="15.75" customHeight="1" x14ac:dyDescent="0.25"/>
    <row r="914" customFormat="1" ht="15.75" customHeight="1" x14ac:dyDescent="0.25"/>
    <row r="915" customFormat="1" ht="15.75" customHeight="1" x14ac:dyDescent="0.25"/>
    <row r="916" customFormat="1" ht="15.75" customHeight="1" x14ac:dyDescent="0.25"/>
    <row r="917" customFormat="1" ht="15.75" customHeight="1" x14ac:dyDescent="0.25"/>
    <row r="918" customFormat="1" ht="15.75" customHeight="1" x14ac:dyDescent="0.25"/>
    <row r="919" customFormat="1" ht="15.75" customHeight="1" x14ac:dyDescent="0.25"/>
    <row r="920" customFormat="1" ht="15.75" customHeight="1" x14ac:dyDescent="0.25"/>
    <row r="921" customFormat="1" ht="15.75" customHeight="1" x14ac:dyDescent="0.25"/>
    <row r="922" customFormat="1" ht="15.75" customHeight="1" x14ac:dyDescent="0.25"/>
    <row r="923" customFormat="1" ht="15.75" customHeight="1" x14ac:dyDescent="0.25"/>
    <row r="924" customFormat="1" ht="15.75" customHeight="1" x14ac:dyDescent="0.25"/>
    <row r="925" customFormat="1" ht="15.75" customHeight="1" x14ac:dyDescent="0.25"/>
    <row r="926" customFormat="1" ht="15.75" customHeight="1" x14ac:dyDescent="0.25"/>
    <row r="927" customFormat="1" ht="15.75" customHeight="1" x14ac:dyDescent="0.25"/>
    <row r="928" customFormat="1" ht="15.75" customHeight="1" x14ac:dyDescent="0.25"/>
    <row r="929" customFormat="1" ht="15.75" customHeight="1" x14ac:dyDescent="0.25"/>
    <row r="930" customFormat="1" ht="15.75" customHeight="1" x14ac:dyDescent="0.25"/>
    <row r="931" customFormat="1" ht="15.75" customHeight="1" x14ac:dyDescent="0.25"/>
    <row r="932" customFormat="1" ht="15.75" customHeight="1" x14ac:dyDescent="0.25"/>
    <row r="933" customFormat="1" ht="15.75" customHeight="1" x14ac:dyDescent="0.25"/>
    <row r="934" customFormat="1" ht="15.75" customHeight="1" x14ac:dyDescent="0.25"/>
    <row r="935" customFormat="1" ht="15.75" customHeight="1" x14ac:dyDescent="0.25"/>
    <row r="936" customFormat="1" ht="15.75" customHeight="1" x14ac:dyDescent="0.25"/>
    <row r="937" customFormat="1" ht="15.75" customHeight="1" x14ac:dyDescent="0.25"/>
    <row r="938" customFormat="1" ht="15.75" customHeight="1" x14ac:dyDescent="0.25"/>
    <row r="939" customFormat="1" ht="15.75" customHeight="1" x14ac:dyDescent="0.25"/>
    <row r="940" customFormat="1" ht="15.75" customHeight="1" x14ac:dyDescent="0.25"/>
    <row r="941" customFormat="1" ht="15.75" customHeight="1" x14ac:dyDescent="0.25"/>
    <row r="942" customFormat="1" ht="15.75" customHeight="1" x14ac:dyDescent="0.25"/>
    <row r="943" customFormat="1" ht="15.75" customHeight="1" x14ac:dyDescent="0.25"/>
    <row r="944" customFormat="1" ht="15.75" customHeight="1" x14ac:dyDescent="0.25"/>
    <row r="945" customFormat="1" ht="15.75" customHeight="1" x14ac:dyDescent="0.25"/>
    <row r="946" customFormat="1" ht="15.75" customHeight="1" x14ac:dyDescent="0.25"/>
    <row r="947" customFormat="1" ht="15.75" customHeight="1" x14ac:dyDescent="0.25"/>
    <row r="948" customFormat="1" ht="15.75" customHeight="1" x14ac:dyDescent="0.25"/>
    <row r="949" customFormat="1" ht="15.75" customHeight="1" x14ac:dyDescent="0.25"/>
    <row r="950" customFormat="1" ht="15.75" customHeight="1" x14ac:dyDescent="0.25"/>
    <row r="951" customFormat="1" ht="15.75" customHeight="1" x14ac:dyDescent="0.25"/>
    <row r="952" customFormat="1" ht="15.75" customHeight="1" x14ac:dyDescent="0.25"/>
    <row r="953" customFormat="1" ht="15.75" customHeight="1" x14ac:dyDescent="0.25"/>
  </sheetData>
  <mergeCells count="13">
    <mergeCell ref="C13:F13"/>
    <mergeCell ref="C6:F6"/>
    <mergeCell ref="C7:F7"/>
    <mergeCell ref="C8:F8"/>
    <mergeCell ref="C12:F12"/>
    <mergeCell ref="C27:F27"/>
    <mergeCell ref="C14:F14"/>
    <mergeCell ref="C15:F15"/>
    <mergeCell ref="C20:F20"/>
    <mergeCell ref="C21:F21"/>
    <mergeCell ref="C26:F26"/>
    <mergeCell ref="C19:F19"/>
    <mergeCell ref="C25:F2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986"/>
  <sheetViews>
    <sheetView topLeftCell="A31" zoomScale="70" zoomScaleNormal="70" workbookViewId="0">
      <selection activeCell="G146" sqref="G146"/>
    </sheetView>
  </sheetViews>
  <sheetFormatPr baseColWidth="10" defaultColWidth="12.5546875" defaultRowHeight="15" customHeight="1" x14ac:dyDescent="0.25"/>
  <cols>
    <col min="1" max="1" width="12.44140625" customWidth="1"/>
    <col min="2" max="2" width="24.5546875" customWidth="1"/>
    <col min="3" max="26" width="12.44140625" customWidth="1"/>
  </cols>
  <sheetData>
    <row r="1" spans="1:9" ht="15.75" customHeight="1" x14ac:dyDescent="0.25"/>
    <row r="2" spans="1:9" ht="15.75" customHeight="1" x14ac:dyDescent="0.25"/>
    <row r="3" spans="1:9" ht="15.75" customHeight="1" x14ac:dyDescent="0.25">
      <c r="B3" s="3"/>
      <c r="C3" s="3" t="s">
        <v>17</v>
      </c>
      <c r="D3" s="3" t="s">
        <v>21</v>
      </c>
      <c r="E3" s="3" t="s">
        <v>22</v>
      </c>
      <c r="F3" s="3" t="s">
        <v>23</v>
      </c>
      <c r="G3" s="3" t="s">
        <v>24</v>
      </c>
      <c r="H3" s="3" t="s">
        <v>25</v>
      </c>
      <c r="I3" s="3" t="s">
        <v>26</v>
      </c>
    </row>
    <row r="4" spans="1:9" ht="15.75" customHeight="1" x14ac:dyDescent="0.25">
      <c r="B4" s="2" t="s">
        <v>8</v>
      </c>
      <c r="C4" s="5">
        <v>5</v>
      </c>
      <c r="D4" s="4">
        <v>1</v>
      </c>
      <c r="E4" s="4">
        <v>1</v>
      </c>
      <c r="F4" s="4">
        <v>1</v>
      </c>
      <c r="G4" s="4">
        <v>1</v>
      </c>
      <c r="H4" s="4">
        <v>1</v>
      </c>
      <c r="I4" s="6">
        <f>SUM(D4:H4)</f>
        <v>5</v>
      </c>
    </row>
    <row r="5" spans="1:9" ht="15.75" customHeight="1" x14ac:dyDescent="0.25">
      <c r="B5" s="2" t="s">
        <v>31</v>
      </c>
      <c r="C5" s="5">
        <v>4</v>
      </c>
      <c r="D5" s="4">
        <v>1</v>
      </c>
      <c r="E5" s="4">
        <v>1</v>
      </c>
      <c r="F5" s="4">
        <v>0</v>
      </c>
      <c r="G5" s="4">
        <v>1</v>
      </c>
      <c r="H5" s="4">
        <v>1</v>
      </c>
      <c r="I5" s="6">
        <v>4</v>
      </c>
    </row>
    <row r="6" spans="1:9" ht="15.75" customHeight="1" x14ac:dyDescent="0.25">
      <c r="A6" s="3"/>
      <c r="B6" s="2" t="s">
        <v>32</v>
      </c>
      <c r="C6" s="5">
        <v>4</v>
      </c>
      <c r="D6" s="4">
        <v>1</v>
      </c>
      <c r="E6" s="4">
        <v>2</v>
      </c>
      <c r="F6" s="4">
        <v>1</v>
      </c>
      <c r="G6" s="4">
        <v>0</v>
      </c>
      <c r="H6" s="4">
        <v>0</v>
      </c>
      <c r="I6" s="6">
        <v>4</v>
      </c>
    </row>
    <row r="7" spans="1:9" ht="15.75" customHeight="1" x14ac:dyDescent="0.25"/>
    <row r="8" spans="1:9" ht="15.75" customHeight="1" x14ac:dyDescent="0.25"/>
    <row r="9" spans="1:9" ht="15.75" customHeight="1" x14ac:dyDescent="0.25">
      <c r="C9" s="3"/>
      <c r="D9" s="3"/>
      <c r="E9" s="3"/>
      <c r="F9" s="3"/>
      <c r="G9" s="3"/>
      <c r="H9" s="3"/>
    </row>
    <row r="10" spans="1:9" ht="15.75" customHeight="1" x14ac:dyDescent="0.25"/>
    <row r="11" spans="1:9" ht="15.75" customHeight="1" x14ac:dyDescent="0.25">
      <c r="B11" s="7" t="s">
        <v>27</v>
      </c>
      <c r="C11" s="3">
        <f>SUM(C4:C6)</f>
        <v>13</v>
      </c>
      <c r="D11" s="3">
        <f>C11-SUM(D4:D6)</f>
        <v>10</v>
      </c>
      <c r="E11" s="3">
        <f>D11-SUM(E4:E6)</f>
        <v>6</v>
      </c>
      <c r="F11" s="3">
        <f>E11-SUM(F4:F6)</f>
        <v>4</v>
      </c>
      <c r="G11" s="3">
        <f>F11-SUM(G4:G6)</f>
        <v>2</v>
      </c>
      <c r="H11" s="3">
        <f>G11-SUM(H4:H6)</f>
        <v>0</v>
      </c>
    </row>
    <row r="12" spans="1:9" ht="15.75" customHeight="1" x14ac:dyDescent="0.25">
      <c r="B12" s="7" t="s">
        <v>28</v>
      </c>
      <c r="C12" s="3">
        <f>SUM(C4:C6)</f>
        <v>13</v>
      </c>
      <c r="D12" s="3">
        <f>C12-(SUM(C4:C6)/5)</f>
        <v>10.4</v>
      </c>
      <c r="E12" s="3">
        <f>D12-(SUM(C4:C6)/5)</f>
        <v>7.8000000000000007</v>
      </c>
      <c r="F12" s="3">
        <f>E12-(SUM(C4:C6)/5)</f>
        <v>5.2000000000000011</v>
      </c>
      <c r="G12" s="3">
        <f>F12-(SUM(C4:C6)/5)</f>
        <v>2.600000000000001</v>
      </c>
      <c r="H12" s="3">
        <f>G12-(SUM(C4:C6)/5)</f>
        <v>0</v>
      </c>
    </row>
    <row r="13" spans="1:9" ht="15.75" customHeight="1" x14ac:dyDescent="0.25"/>
    <row r="14" spans="1:9" ht="15.75" customHeight="1" x14ac:dyDescent="0.25"/>
    <row r="15" spans="1:9" ht="15.75" customHeight="1" x14ac:dyDescent="0.25"/>
    <row r="16" spans="1:9" ht="15.75" customHeight="1" x14ac:dyDescent="0.25">
      <c r="B16" s="35" t="s">
        <v>29</v>
      </c>
      <c r="C16" s="35"/>
      <c r="D16" s="35"/>
      <c r="E16" s="35"/>
      <c r="F16" s="35"/>
      <c r="G16" s="35"/>
    </row>
    <row r="17" spans="2:9" ht="15.75" customHeight="1" x14ac:dyDescent="0.25">
      <c r="B17" s="35"/>
      <c r="C17" s="35"/>
      <c r="D17" s="35"/>
      <c r="E17" s="35"/>
      <c r="F17" s="35"/>
      <c r="G17" s="35"/>
    </row>
    <row r="18" spans="2:9" ht="15.75" customHeight="1" x14ac:dyDescent="0.25">
      <c r="B18" s="35"/>
      <c r="C18" s="35"/>
      <c r="D18" s="35"/>
      <c r="E18" s="35"/>
      <c r="F18" s="35"/>
      <c r="G18" s="35"/>
    </row>
    <row r="19" spans="2:9" ht="15.75" customHeight="1" x14ac:dyDescent="0.25">
      <c r="B19" s="35"/>
      <c r="C19" s="35"/>
      <c r="D19" s="35"/>
      <c r="E19" s="35"/>
      <c r="F19" s="35"/>
      <c r="G19" s="35"/>
    </row>
    <row r="20" spans="2:9" ht="15.75" customHeight="1" x14ac:dyDescent="0.25">
      <c r="B20" s="35"/>
      <c r="C20" s="35"/>
      <c r="D20" s="35"/>
      <c r="E20" s="35"/>
      <c r="F20" s="35"/>
      <c r="G20" s="35"/>
    </row>
    <row r="21" spans="2:9" ht="15.75" customHeight="1" x14ac:dyDescent="0.25">
      <c r="B21" s="35"/>
      <c r="C21" s="35"/>
      <c r="D21" s="35"/>
      <c r="E21" s="35"/>
      <c r="F21" s="35"/>
      <c r="G21" s="35"/>
    </row>
    <row r="22" spans="2:9" ht="15.75" customHeight="1" x14ac:dyDescent="0.25">
      <c r="B22" s="35"/>
      <c r="C22" s="35"/>
      <c r="D22" s="35"/>
      <c r="E22" s="35"/>
      <c r="F22" s="35"/>
      <c r="G22" s="35"/>
    </row>
    <row r="23" spans="2:9" ht="15.75" customHeight="1" x14ac:dyDescent="0.25">
      <c r="B23" s="35"/>
      <c r="C23" s="35"/>
      <c r="D23" s="35"/>
      <c r="E23" s="35"/>
      <c r="F23" s="35"/>
      <c r="G23" s="35"/>
    </row>
    <row r="24" spans="2:9" ht="15.75" customHeight="1" x14ac:dyDescent="0.25"/>
    <row r="25" spans="2:9" ht="15.75" customHeight="1" x14ac:dyDescent="0.25"/>
    <row r="26" spans="2:9" ht="15.75" customHeight="1" x14ac:dyDescent="0.25"/>
    <row r="27" spans="2:9" ht="15.75" customHeight="1" x14ac:dyDescent="0.25"/>
    <row r="28" spans="2:9" ht="15.75" customHeight="1" x14ac:dyDescent="0.25"/>
    <row r="29" spans="2:9" ht="15.75" customHeight="1" x14ac:dyDescent="0.25"/>
    <row r="30" spans="2:9" ht="15.75" customHeight="1" x14ac:dyDescent="0.25"/>
    <row r="31" spans="2:9" ht="15.75" customHeight="1" x14ac:dyDescent="0.25"/>
    <row r="32" spans="2:9" ht="15.75" customHeight="1" x14ac:dyDescent="0.25">
      <c r="B32" s="3"/>
      <c r="C32" s="3" t="s">
        <v>17</v>
      </c>
      <c r="D32" s="3" t="s">
        <v>21</v>
      </c>
      <c r="E32" s="3" t="s">
        <v>22</v>
      </c>
      <c r="F32" s="3" t="s">
        <v>23</v>
      </c>
      <c r="G32" s="3" t="s">
        <v>24</v>
      </c>
      <c r="H32" s="3" t="s">
        <v>25</v>
      </c>
      <c r="I32" s="3" t="s">
        <v>26</v>
      </c>
    </row>
    <row r="33" spans="2:9" ht="15.75" customHeight="1" x14ac:dyDescent="0.25">
      <c r="B33" s="2" t="s">
        <v>34</v>
      </c>
      <c r="C33" s="5">
        <v>5</v>
      </c>
      <c r="D33" s="4">
        <v>1</v>
      </c>
      <c r="E33" s="4">
        <v>1</v>
      </c>
      <c r="F33" s="4">
        <v>1</v>
      </c>
      <c r="G33" s="4">
        <v>1</v>
      </c>
      <c r="H33" s="4">
        <v>1</v>
      </c>
      <c r="I33" s="6">
        <f>SUM(D33:H33)</f>
        <v>5</v>
      </c>
    </row>
    <row r="34" spans="2:9" ht="15.75" customHeight="1" x14ac:dyDescent="0.25">
      <c r="B34" s="2" t="s">
        <v>35</v>
      </c>
      <c r="C34" s="5">
        <v>4</v>
      </c>
      <c r="D34" s="4">
        <v>1</v>
      </c>
      <c r="E34" s="4">
        <v>1</v>
      </c>
      <c r="F34" s="4">
        <v>1</v>
      </c>
      <c r="G34" s="4">
        <v>1</v>
      </c>
      <c r="H34" s="4">
        <v>0</v>
      </c>
      <c r="I34" s="6">
        <f>SUM(D34:H34)</f>
        <v>4</v>
      </c>
    </row>
    <row r="35" spans="2:9" ht="15.75" customHeight="1" x14ac:dyDescent="0.25">
      <c r="B35" s="2" t="s">
        <v>36</v>
      </c>
      <c r="C35" s="5">
        <v>4</v>
      </c>
      <c r="D35" s="4">
        <v>1</v>
      </c>
      <c r="E35" s="4">
        <v>2</v>
      </c>
      <c r="F35" s="4">
        <v>1</v>
      </c>
      <c r="G35" s="4">
        <v>0</v>
      </c>
      <c r="H35" s="4">
        <v>0</v>
      </c>
      <c r="I35" s="6">
        <f>SUM(D35:H35)</f>
        <v>4</v>
      </c>
    </row>
    <row r="36" spans="2:9" ht="15.75" customHeight="1" x14ac:dyDescent="0.25">
      <c r="B36" s="2" t="s">
        <v>62</v>
      </c>
      <c r="C36" s="5">
        <v>5</v>
      </c>
      <c r="D36" s="4">
        <v>1</v>
      </c>
      <c r="E36" s="4">
        <v>2</v>
      </c>
      <c r="F36" s="4">
        <v>2</v>
      </c>
      <c r="G36" s="4">
        <v>0</v>
      </c>
      <c r="H36" s="4">
        <v>0</v>
      </c>
      <c r="I36" s="6">
        <f>SUM(D36:H36)</f>
        <v>5</v>
      </c>
    </row>
    <row r="37" spans="2:9" ht="15.75" customHeight="1" x14ac:dyDescent="0.25"/>
    <row r="38" spans="2:9" ht="15.75" customHeight="1" x14ac:dyDescent="0.25">
      <c r="B38" s="8"/>
      <c r="C38" s="3"/>
      <c r="D38" s="3"/>
      <c r="E38" s="3"/>
      <c r="F38" s="3"/>
      <c r="G38" s="3"/>
      <c r="H38" s="3"/>
    </row>
    <row r="39" spans="2:9" ht="15.75" customHeight="1" x14ac:dyDescent="0.25"/>
    <row r="40" spans="2:9" ht="15.75" customHeight="1" x14ac:dyDescent="0.25">
      <c r="B40" s="7" t="s">
        <v>27</v>
      </c>
      <c r="C40" s="3">
        <f>SUM(C33:C36)</f>
        <v>18</v>
      </c>
      <c r="D40" s="3">
        <f>C40-SUM(D33:D36)</f>
        <v>14</v>
      </c>
      <c r="E40" s="3">
        <f t="shared" ref="E40:H40" si="0">D40-SUM(E33:E36)</f>
        <v>8</v>
      </c>
      <c r="F40" s="3">
        <f t="shared" si="0"/>
        <v>3</v>
      </c>
      <c r="G40" s="3">
        <f t="shared" si="0"/>
        <v>1</v>
      </c>
      <c r="H40" s="3">
        <f t="shared" si="0"/>
        <v>0</v>
      </c>
    </row>
    <row r="41" spans="2:9" ht="15.75" customHeight="1" x14ac:dyDescent="0.25">
      <c r="B41" s="7" t="s">
        <v>28</v>
      </c>
      <c r="C41" s="3">
        <f>SUM(C33:C36)</f>
        <v>18</v>
      </c>
      <c r="D41" s="3">
        <f>C41-(SUM(C33:C36)/5)</f>
        <v>14.4</v>
      </c>
      <c r="E41" s="3">
        <f t="shared" ref="E41:H41" si="1">D41-(SUM(D33:D36)/5)</f>
        <v>13.6</v>
      </c>
      <c r="F41" s="3">
        <f t="shared" si="1"/>
        <v>12.4</v>
      </c>
      <c r="G41" s="3">
        <f t="shared" si="1"/>
        <v>11.4</v>
      </c>
      <c r="H41" s="3">
        <f t="shared" si="1"/>
        <v>11</v>
      </c>
    </row>
    <row r="42" spans="2:9" ht="15.75" customHeight="1" x14ac:dyDescent="0.25"/>
    <row r="43" spans="2:9" ht="15.75" customHeight="1" x14ac:dyDescent="0.25"/>
    <row r="44" spans="2:9" ht="15.75" customHeight="1" x14ac:dyDescent="0.25"/>
    <row r="45" spans="2:9" ht="15.75" customHeight="1" x14ac:dyDescent="0.25">
      <c r="B45" s="35" t="s">
        <v>29</v>
      </c>
      <c r="C45" s="35"/>
      <c r="D45" s="35"/>
      <c r="E45" s="35"/>
      <c r="F45" s="35"/>
      <c r="G45" s="35"/>
    </row>
    <row r="46" spans="2:9" ht="15.75" customHeight="1" x14ac:dyDescent="0.25">
      <c r="B46" s="35"/>
      <c r="C46" s="35"/>
      <c r="D46" s="35"/>
      <c r="E46" s="35"/>
      <c r="F46" s="35"/>
      <c r="G46" s="35"/>
    </row>
    <row r="47" spans="2:9" ht="15.75" customHeight="1" x14ac:dyDescent="0.25">
      <c r="B47" s="35"/>
      <c r="C47" s="35"/>
      <c r="D47" s="35"/>
      <c r="E47" s="35"/>
      <c r="F47" s="35"/>
      <c r="G47" s="35"/>
    </row>
    <row r="48" spans="2:9" ht="15.75" customHeight="1" x14ac:dyDescent="0.25">
      <c r="B48" s="35"/>
      <c r="C48" s="35"/>
      <c r="D48" s="35"/>
      <c r="E48" s="35"/>
      <c r="F48" s="35"/>
      <c r="G48" s="35"/>
    </row>
    <row r="49" spans="2:9" ht="15.75" customHeight="1" x14ac:dyDescent="0.25">
      <c r="B49" s="35"/>
      <c r="C49" s="35"/>
      <c r="D49" s="35"/>
      <c r="E49" s="35"/>
      <c r="F49" s="35"/>
      <c r="G49" s="35"/>
    </row>
    <row r="50" spans="2:9" ht="15.75" customHeight="1" x14ac:dyDescent="0.25">
      <c r="B50" s="35"/>
      <c r="C50" s="35"/>
      <c r="D50" s="35"/>
      <c r="E50" s="35"/>
      <c r="F50" s="35"/>
      <c r="G50" s="35"/>
    </row>
    <row r="51" spans="2:9" ht="15.75" customHeight="1" x14ac:dyDescent="0.25">
      <c r="B51" s="35"/>
      <c r="C51" s="35"/>
      <c r="D51" s="35"/>
      <c r="E51" s="35"/>
      <c r="F51" s="35"/>
      <c r="G51" s="35"/>
    </row>
    <row r="52" spans="2:9" ht="15.75" customHeight="1" x14ac:dyDescent="0.25">
      <c r="B52" s="35"/>
      <c r="C52" s="35"/>
      <c r="D52" s="35"/>
      <c r="E52" s="35"/>
      <c r="F52" s="35"/>
      <c r="G52" s="35"/>
    </row>
    <row r="53" spans="2:9" ht="15.75" customHeight="1" x14ac:dyDescent="0.25"/>
    <row r="54" spans="2:9" ht="15.75" customHeight="1" x14ac:dyDescent="0.25"/>
    <row r="55" spans="2:9" ht="15.75" customHeight="1" x14ac:dyDescent="0.25"/>
    <row r="56" spans="2:9" ht="15.75" customHeight="1" x14ac:dyDescent="0.25"/>
    <row r="57" spans="2:9" ht="15.75" customHeight="1" x14ac:dyDescent="0.25"/>
    <row r="58" spans="2:9" ht="15.75" customHeight="1" x14ac:dyDescent="0.25"/>
    <row r="59" spans="2:9" ht="15.75" customHeight="1" x14ac:dyDescent="0.25"/>
    <row r="60" spans="2:9" ht="15.75" customHeight="1" x14ac:dyDescent="0.25"/>
    <row r="61" spans="2:9" ht="15.75" customHeight="1" x14ac:dyDescent="0.25"/>
    <row r="62" spans="2:9" ht="15.75" customHeight="1" x14ac:dyDescent="0.25"/>
    <row r="63" spans="2:9" ht="15.75" customHeight="1" x14ac:dyDescent="0.25">
      <c r="B63" s="3"/>
      <c r="C63" s="3" t="s">
        <v>17</v>
      </c>
      <c r="D63" s="3" t="s">
        <v>21</v>
      </c>
      <c r="E63" s="3" t="s">
        <v>22</v>
      </c>
      <c r="F63" s="3" t="s">
        <v>23</v>
      </c>
      <c r="G63" s="3" t="s">
        <v>24</v>
      </c>
      <c r="H63" s="3" t="s">
        <v>25</v>
      </c>
      <c r="I63" s="3" t="s">
        <v>26</v>
      </c>
    </row>
    <row r="64" spans="2:9" ht="15.75" customHeight="1" x14ac:dyDescent="0.25">
      <c r="B64" s="2" t="s">
        <v>37</v>
      </c>
      <c r="C64" s="5">
        <v>6</v>
      </c>
      <c r="D64" s="4">
        <v>2</v>
      </c>
      <c r="E64" s="4">
        <v>2</v>
      </c>
      <c r="F64" s="4">
        <v>1</v>
      </c>
      <c r="G64" s="4">
        <v>1</v>
      </c>
      <c r="H64" s="4">
        <v>0</v>
      </c>
      <c r="I64" s="6">
        <f>SUM(D64:H64)</f>
        <v>6</v>
      </c>
    </row>
    <row r="65" spans="2:9" ht="15.75" customHeight="1" x14ac:dyDescent="0.25">
      <c r="B65" s="2" t="s">
        <v>38</v>
      </c>
      <c r="C65" s="5">
        <v>4</v>
      </c>
      <c r="D65" s="4">
        <v>1</v>
      </c>
      <c r="E65" s="4">
        <v>1</v>
      </c>
      <c r="F65" s="4">
        <v>1</v>
      </c>
      <c r="G65" s="4">
        <v>0</v>
      </c>
      <c r="H65" s="4">
        <v>1</v>
      </c>
      <c r="I65" s="6">
        <f>SUM(D65:H65)</f>
        <v>4</v>
      </c>
    </row>
    <row r="66" spans="2:9" ht="15.75" customHeight="1" x14ac:dyDescent="0.25">
      <c r="B66" s="2" t="s">
        <v>39</v>
      </c>
      <c r="C66" s="5">
        <v>5</v>
      </c>
      <c r="D66" s="4">
        <v>1</v>
      </c>
      <c r="E66" s="4">
        <v>1</v>
      </c>
      <c r="F66" s="4">
        <v>1</v>
      </c>
      <c r="G66" s="4">
        <v>1</v>
      </c>
      <c r="H66" s="4">
        <v>1</v>
      </c>
      <c r="I66" s="6">
        <f>SUM(D66:H66)</f>
        <v>5</v>
      </c>
    </row>
    <row r="67" spans="2:9" ht="15.75" customHeight="1" x14ac:dyDescent="0.25"/>
    <row r="68" spans="2:9" ht="15.75" customHeight="1" x14ac:dyDescent="0.25"/>
    <row r="69" spans="2:9" ht="15.75" customHeight="1" x14ac:dyDescent="0.25">
      <c r="B69" s="8"/>
      <c r="C69" s="3"/>
      <c r="D69" s="3"/>
      <c r="E69" s="3"/>
      <c r="F69" s="3"/>
      <c r="G69" s="3"/>
      <c r="H69" s="3"/>
    </row>
    <row r="70" spans="2:9" ht="15.75" customHeight="1" x14ac:dyDescent="0.25"/>
    <row r="71" spans="2:9" ht="15.75" customHeight="1" x14ac:dyDescent="0.25">
      <c r="B71" s="7" t="s">
        <v>27</v>
      </c>
      <c r="C71" s="3">
        <f>SUM(C64:C66)</f>
        <v>15</v>
      </c>
      <c r="D71" s="3">
        <f>C71-SUM(D64:D66)</f>
        <v>11</v>
      </c>
      <c r="E71" s="3">
        <f>D71-SUM(E64:E66)</f>
        <v>7</v>
      </c>
      <c r="F71" s="3">
        <f>E71-SUM(F64:F66)</f>
        <v>4</v>
      </c>
      <c r="G71" s="3">
        <f>F71-SUM(G64:G66)</f>
        <v>2</v>
      </c>
      <c r="H71" s="3">
        <f>G71-SUM(H64:H66)</f>
        <v>0</v>
      </c>
    </row>
    <row r="72" spans="2:9" ht="15.75" customHeight="1" x14ac:dyDescent="0.25">
      <c r="B72" s="7" t="s">
        <v>28</v>
      </c>
      <c r="C72" s="3">
        <f>SUM(C64:C66)</f>
        <v>15</v>
      </c>
      <c r="D72" s="3">
        <f>C72-(SUM(C64:C66)/5)</f>
        <v>12</v>
      </c>
      <c r="E72" s="3">
        <f>D72-(SUM(D64:D66)/5)</f>
        <v>11.2</v>
      </c>
      <c r="F72" s="3">
        <f>E72-(SUM(E64:E66)/5)</f>
        <v>10.399999999999999</v>
      </c>
      <c r="G72" s="3">
        <f>F72-(SUM(F64:F66)/5)</f>
        <v>9.7999999999999989</v>
      </c>
      <c r="H72" s="3">
        <f>G72-(SUM(G64:G66)/5)</f>
        <v>9.3999999999999986</v>
      </c>
    </row>
    <row r="73" spans="2:9" ht="15.75" customHeight="1" x14ac:dyDescent="0.25"/>
    <row r="74" spans="2:9" ht="15.75" customHeight="1" x14ac:dyDescent="0.25"/>
    <row r="75" spans="2:9" ht="15.75" customHeight="1" x14ac:dyDescent="0.25"/>
    <row r="76" spans="2:9" ht="15.75" customHeight="1" x14ac:dyDescent="0.25">
      <c r="B76" s="35" t="s">
        <v>29</v>
      </c>
      <c r="C76" s="35"/>
      <c r="D76" s="35"/>
      <c r="E76" s="35"/>
      <c r="F76" s="35"/>
      <c r="G76" s="35"/>
    </row>
    <row r="77" spans="2:9" ht="15.75" customHeight="1" x14ac:dyDescent="0.25">
      <c r="B77" s="35"/>
      <c r="C77" s="35"/>
      <c r="D77" s="35"/>
      <c r="E77" s="35"/>
      <c r="F77" s="35"/>
      <c r="G77" s="35"/>
    </row>
    <row r="78" spans="2:9" ht="15.75" customHeight="1" x14ac:dyDescent="0.25">
      <c r="B78" s="35"/>
      <c r="C78" s="35"/>
      <c r="D78" s="35"/>
      <c r="E78" s="35"/>
      <c r="F78" s="35"/>
      <c r="G78" s="35"/>
    </row>
    <row r="79" spans="2:9" ht="15.75" customHeight="1" x14ac:dyDescent="0.25">
      <c r="B79" s="35"/>
      <c r="C79" s="35"/>
      <c r="D79" s="35"/>
      <c r="E79" s="35"/>
      <c r="F79" s="35"/>
      <c r="G79" s="35"/>
    </row>
    <row r="80" spans="2:9" ht="15.75" customHeight="1" x14ac:dyDescent="0.25">
      <c r="B80" s="35"/>
      <c r="C80" s="35"/>
      <c r="D80" s="35"/>
      <c r="E80" s="35"/>
      <c r="F80" s="35"/>
      <c r="G80" s="35"/>
    </row>
    <row r="81" spans="2:9" ht="15.75" customHeight="1" x14ac:dyDescent="0.25">
      <c r="B81" s="35"/>
      <c r="C81" s="35"/>
      <c r="D81" s="35"/>
      <c r="E81" s="35"/>
      <c r="F81" s="35"/>
      <c r="G81" s="35"/>
    </row>
    <row r="82" spans="2:9" ht="15.75" customHeight="1" x14ac:dyDescent="0.25">
      <c r="B82" s="35"/>
      <c r="C82" s="35"/>
      <c r="D82" s="35"/>
      <c r="E82" s="35"/>
      <c r="F82" s="35"/>
      <c r="G82" s="35"/>
    </row>
    <row r="83" spans="2:9" ht="15.75" customHeight="1" x14ac:dyDescent="0.25">
      <c r="B83" s="35"/>
      <c r="C83" s="35"/>
      <c r="D83" s="35"/>
      <c r="E83" s="35"/>
      <c r="F83" s="35"/>
      <c r="G83" s="35"/>
    </row>
    <row r="84" spans="2:9" ht="15.75" customHeight="1" x14ac:dyDescent="0.25"/>
    <row r="85" spans="2:9" ht="15.75" customHeight="1" x14ac:dyDescent="0.25"/>
    <row r="86" spans="2:9" ht="15.75" customHeight="1" x14ac:dyDescent="0.25"/>
    <row r="87" spans="2:9" ht="15.75" customHeight="1" x14ac:dyDescent="0.25"/>
    <row r="88" spans="2:9" ht="15.75" customHeight="1" x14ac:dyDescent="0.25"/>
    <row r="89" spans="2:9" ht="15.75" customHeight="1" x14ac:dyDescent="0.25"/>
    <row r="90" spans="2:9" ht="15.75" customHeight="1" x14ac:dyDescent="0.25"/>
    <row r="91" spans="2:9" ht="15.75" customHeight="1" x14ac:dyDescent="0.25"/>
    <row r="92" spans="2:9" ht="15.75" customHeight="1" x14ac:dyDescent="0.25"/>
    <row r="93" spans="2:9" ht="15.75" customHeight="1" x14ac:dyDescent="0.25"/>
    <row r="94" spans="2:9" ht="15.75" customHeight="1" x14ac:dyDescent="0.25"/>
    <row r="95" spans="2:9" ht="15.75" customHeight="1" x14ac:dyDescent="0.25">
      <c r="B95" s="3"/>
      <c r="C95" s="3" t="s">
        <v>17</v>
      </c>
      <c r="D95" s="3" t="s">
        <v>21</v>
      </c>
      <c r="E95" s="3" t="s">
        <v>22</v>
      </c>
      <c r="F95" s="3" t="s">
        <v>23</v>
      </c>
      <c r="G95" s="3" t="s">
        <v>24</v>
      </c>
      <c r="H95" s="3" t="s">
        <v>25</v>
      </c>
      <c r="I95" s="3" t="s">
        <v>26</v>
      </c>
    </row>
    <row r="96" spans="2:9" ht="15.75" customHeight="1" x14ac:dyDescent="0.25">
      <c r="B96" s="2" t="s">
        <v>40</v>
      </c>
      <c r="C96" s="5">
        <v>5</v>
      </c>
      <c r="D96" s="4">
        <v>1</v>
      </c>
      <c r="E96" s="4">
        <v>1</v>
      </c>
      <c r="F96" s="4">
        <v>1</v>
      </c>
      <c r="G96" s="4">
        <v>1</v>
      </c>
      <c r="H96" s="4">
        <v>1</v>
      </c>
      <c r="I96" s="6">
        <f>SUM(D96:H96)</f>
        <v>5</v>
      </c>
    </row>
    <row r="97" spans="2:9" ht="15.75" customHeight="1" x14ac:dyDescent="0.25">
      <c r="B97" s="2" t="s">
        <v>41</v>
      </c>
      <c r="C97" s="5">
        <v>4</v>
      </c>
      <c r="D97" s="4">
        <v>1</v>
      </c>
      <c r="E97" s="4">
        <v>1</v>
      </c>
      <c r="F97" s="4">
        <v>1</v>
      </c>
      <c r="G97" s="4">
        <v>1</v>
      </c>
      <c r="H97" s="4">
        <v>0</v>
      </c>
      <c r="I97" s="6">
        <f>SUM(D97:H97)</f>
        <v>4</v>
      </c>
    </row>
    <row r="98" spans="2:9" ht="15.75" customHeight="1" x14ac:dyDescent="0.25">
      <c r="B98" s="2" t="s">
        <v>42</v>
      </c>
      <c r="C98" s="5">
        <v>6</v>
      </c>
      <c r="D98" s="4">
        <v>2</v>
      </c>
      <c r="E98" s="4">
        <v>1</v>
      </c>
      <c r="F98" s="4">
        <v>1</v>
      </c>
      <c r="G98" s="4">
        <v>1</v>
      </c>
      <c r="H98" s="4">
        <v>1</v>
      </c>
      <c r="I98" s="6">
        <f>SUM(D98:H98)</f>
        <v>6</v>
      </c>
    </row>
    <row r="99" spans="2:9" ht="15.75" customHeight="1" x14ac:dyDescent="0.25"/>
    <row r="100" spans="2:9" ht="15.75" customHeight="1" x14ac:dyDescent="0.25"/>
    <row r="101" spans="2:9" ht="15.75" customHeight="1" x14ac:dyDescent="0.25">
      <c r="B101" s="8"/>
      <c r="C101" s="3"/>
      <c r="D101" s="3"/>
      <c r="E101" s="3"/>
      <c r="F101" s="3"/>
      <c r="G101" s="3"/>
      <c r="H101" s="3"/>
    </row>
    <row r="102" spans="2:9" ht="15.75" customHeight="1" x14ac:dyDescent="0.25"/>
    <row r="103" spans="2:9" ht="15.75" customHeight="1" x14ac:dyDescent="0.25">
      <c r="B103" s="7" t="s">
        <v>27</v>
      </c>
      <c r="C103" s="3">
        <f>SUM(C96:C98)</f>
        <v>15</v>
      </c>
      <c r="D103" s="3">
        <f>C103-SUM(D96:D98)</f>
        <v>11</v>
      </c>
      <c r="E103" s="3">
        <f>D103-SUM(E96:E98)</f>
        <v>8</v>
      </c>
      <c r="F103" s="3">
        <f>E103-SUM(F96:F98)</f>
        <v>5</v>
      </c>
      <c r="G103" s="3">
        <f>F103-SUM(G96:G98)</f>
        <v>2</v>
      </c>
      <c r="H103" s="3">
        <f>G103-SUM(H96:H98)</f>
        <v>0</v>
      </c>
    </row>
    <row r="104" spans="2:9" ht="15.75" customHeight="1" x14ac:dyDescent="0.25">
      <c r="B104" s="7" t="s">
        <v>28</v>
      </c>
      <c r="C104" s="3">
        <f>SUM(C96:C98)</f>
        <v>15</v>
      </c>
      <c r="D104" s="3">
        <f>C104-(SUM(C96:C98)/5)</f>
        <v>12</v>
      </c>
      <c r="E104" s="3">
        <f>D104-(SUM(D96:D98)/5)</f>
        <v>11.2</v>
      </c>
      <c r="F104" s="3">
        <f>E104-(SUM(E96:E98)/5)</f>
        <v>10.6</v>
      </c>
      <c r="G104" s="3">
        <f>F104-(SUM(F96:F98)/5)</f>
        <v>10</v>
      </c>
      <c r="H104" s="3">
        <f>G104-(SUM(G96:G98)/5)</f>
        <v>9.4</v>
      </c>
    </row>
    <row r="105" spans="2:9" ht="15.75" customHeight="1" x14ac:dyDescent="0.25"/>
    <row r="106" spans="2:9" ht="15.75" customHeight="1" x14ac:dyDescent="0.25"/>
    <row r="107" spans="2:9" ht="15.75" customHeight="1" x14ac:dyDescent="0.25"/>
    <row r="108" spans="2:9" ht="15.75" customHeight="1" x14ac:dyDescent="0.25">
      <c r="B108" s="35" t="s">
        <v>29</v>
      </c>
      <c r="C108" s="35"/>
      <c r="D108" s="35"/>
      <c r="E108" s="35"/>
      <c r="F108" s="35"/>
      <c r="G108" s="35"/>
    </row>
    <row r="109" spans="2:9" ht="15.75" customHeight="1" x14ac:dyDescent="0.25">
      <c r="B109" s="35"/>
      <c r="C109" s="35"/>
      <c r="D109" s="35"/>
      <c r="E109" s="35"/>
      <c r="F109" s="35"/>
      <c r="G109" s="35"/>
    </row>
    <row r="110" spans="2:9" ht="15.75" customHeight="1" x14ac:dyDescent="0.25">
      <c r="B110" s="35"/>
      <c r="C110" s="35"/>
      <c r="D110" s="35"/>
      <c r="E110" s="35"/>
      <c r="F110" s="35"/>
      <c r="G110" s="35"/>
    </row>
    <row r="111" spans="2:9" ht="15.75" customHeight="1" x14ac:dyDescent="0.25">
      <c r="B111" s="35"/>
      <c r="C111" s="35"/>
      <c r="D111" s="35"/>
      <c r="E111" s="35"/>
      <c r="F111" s="35"/>
      <c r="G111" s="35"/>
    </row>
    <row r="112" spans="2:9" ht="15.75" customHeight="1" x14ac:dyDescent="0.25">
      <c r="B112" s="35"/>
      <c r="C112" s="35"/>
      <c r="D112" s="35"/>
      <c r="E112" s="35"/>
      <c r="F112" s="35"/>
      <c r="G112" s="35"/>
    </row>
    <row r="113" spans="2:9" ht="15.75" customHeight="1" x14ac:dyDescent="0.25">
      <c r="B113" s="35"/>
      <c r="C113" s="35"/>
      <c r="D113" s="35"/>
      <c r="E113" s="35"/>
      <c r="F113" s="35"/>
      <c r="G113" s="35"/>
    </row>
    <row r="114" spans="2:9" ht="15.75" customHeight="1" x14ac:dyDescent="0.25">
      <c r="B114" s="35"/>
      <c r="C114" s="35"/>
      <c r="D114" s="35"/>
      <c r="E114" s="35"/>
      <c r="F114" s="35"/>
      <c r="G114" s="35"/>
    </row>
    <row r="115" spans="2:9" ht="15.75" customHeight="1" x14ac:dyDescent="0.25">
      <c r="B115" s="35"/>
      <c r="C115" s="35"/>
      <c r="D115" s="35"/>
      <c r="E115" s="35"/>
      <c r="F115" s="35"/>
      <c r="G115" s="35"/>
    </row>
    <row r="116" spans="2:9" ht="15.75" customHeight="1" x14ac:dyDescent="0.25"/>
    <row r="117" spans="2:9" ht="15.75" customHeight="1" x14ac:dyDescent="0.25"/>
    <row r="118" spans="2:9" ht="15.75" customHeight="1" x14ac:dyDescent="0.25"/>
    <row r="119" spans="2:9" ht="15.75" customHeight="1" x14ac:dyDescent="0.25">
      <c r="B119" s="3"/>
      <c r="C119" s="3" t="s">
        <v>17</v>
      </c>
      <c r="D119" s="3" t="s">
        <v>21</v>
      </c>
      <c r="E119" s="3" t="s">
        <v>22</v>
      </c>
      <c r="F119" s="3" t="s">
        <v>23</v>
      </c>
      <c r="G119" s="3" t="s">
        <v>24</v>
      </c>
      <c r="H119" s="3" t="s">
        <v>25</v>
      </c>
      <c r="I119" s="3" t="s">
        <v>26</v>
      </c>
    </row>
    <row r="120" spans="2:9" ht="15.75" customHeight="1" x14ac:dyDescent="0.25">
      <c r="B120" s="2" t="s">
        <v>84</v>
      </c>
      <c r="C120" s="5">
        <v>5</v>
      </c>
      <c r="D120" s="4">
        <v>1</v>
      </c>
      <c r="E120" s="4">
        <v>1</v>
      </c>
      <c r="F120" s="4">
        <v>1</v>
      </c>
      <c r="G120" s="4">
        <v>1</v>
      </c>
      <c r="H120" s="4">
        <v>1</v>
      </c>
      <c r="I120" s="6">
        <f>SUM(D120:H120)</f>
        <v>5</v>
      </c>
    </row>
    <row r="121" spans="2:9" ht="15.75" customHeight="1" x14ac:dyDescent="0.25">
      <c r="B121" s="2" t="s">
        <v>85</v>
      </c>
      <c r="C121" s="5">
        <v>4</v>
      </c>
      <c r="D121" s="4">
        <v>1</v>
      </c>
      <c r="E121" s="4">
        <v>1</v>
      </c>
      <c r="F121" s="4">
        <v>1</v>
      </c>
      <c r="G121" s="4">
        <v>1</v>
      </c>
      <c r="H121" s="4">
        <v>0</v>
      </c>
      <c r="I121" s="6">
        <f>SUM(D121:H121)</f>
        <v>4</v>
      </c>
    </row>
    <row r="122" spans="2:9" ht="15.75" customHeight="1" x14ac:dyDescent="0.25">
      <c r="B122" s="2" t="s">
        <v>86</v>
      </c>
      <c r="C122" s="5">
        <v>6</v>
      </c>
      <c r="D122" s="4">
        <v>2</v>
      </c>
      <c r="E122" s="4">
        <v>1</v>
      </c>
      <c r="F122" s="4">
        <v>1</v>
      </c>
      <c r="G122" s="4">
        <v>1</v>
      </c>
      <c r="H122" s="4">
        <v>1</v>
      </c>
      <c r="I122" s="6">
        <f>SUM(D122:H122)</f>
        <v>6</v>
      </c>
    </row>
    <row r="123" spans="2:9" ht="15.75" customHeight="1" x14ac:dyDescent="0.25"/>
    <row r="124" spans="2:9" ht="15.75" customHeight="1" x14ac:dyDescent="0.25"/>
    <row r="125" spans="2:9" ht="15.75" customHeight="1" x14ac:dyDescent="0.25">
      <c r="B125" s="8"/>
      <c r="C125" s="3"/>
      <c r="D125" s="3"/>
      <c r="E125" s="3"/>
      <c r="F125" s="3"/>
      <c r="G125" s="3"/>
      <c r="H125" s="3"/>
    </row>
    <row r="126" spans="2:9" ht="15.75" customHeight="1" x14ac:dyDescent="0.25"/>
    <row r="127" spans="2:9" ht="15.75" customHeight="1" x14ac:dyDescent="0.25">
      <c r="B127" s="7" t="s">
        <v>27</v>
      </c>
      <c r="C127" s="3">
        <f>SUM(C120:C122)</f>
        <v>15</v>
      </c>
      <c r="D127" s="3">
        <f>C127-SUM(D120:D122)</f>
        <v>11</v>
      </c>
      <c r="E127" s="3">
        <f>D127-SUM(E120:E122)</f>
        <v>8</v>
      </c>
      <c r="F127" s="3">
        <f>E127-SUM(F120:F122)</f>
        <v>5</v>
      </c>
      <c r="G127" s="3">
        <f>F127-SUM(G120:G122)</f>
        <v>2</v>
      </c>
      <c r="H127" s="3">
        <f>G127-SUM(H120:H122)</f>
        <v>0</v>
      </c>
    </row>
    <row r="128" spans="2:9" ht="15.75" customHeight="1" x14ac:dyDescent="0.25">
      <c r="B128" s="7" t="s">
        <v>28</v>
      </c>
      <c r="C128" s="3">
        <f>SUM(C120:C122)</f>
        <v>15</v>
      </c>
      <c r="D128" s="3">
        <f>C128-(SUM(C120:C122)/5)</f>
        <v>12</v>
      </c>
      <c r="E128" s="3">
        <f>D128-(SUM(D120:D122)/5)</f>
        <v>11.2</v>
      </c>
      <c r="F128" s="3">
        <f>E128-(SUM(E120:E122)/5)</f>
        <v>10.6</v>
      </c>
      <c r="G128" s="3">
        <f>F128-(SUM(F120:F122)/5)</f>
        <v>10</v>
      </c>
      <c r="H128" s="3">
        <f>G128-(SUM(G120:G122)/5)</f>
        <v>9.4</v>
      </c>
    </row>
    <row r="129" spans="2:9" ht="15.75" customHeight="1" x14ac:dyDescent="0.25"/>
    <row r="130" spans="2:9" ht="15.75" customHeight="1" x14ac:dyDescent="0.25"/>
    <row r="131" spans="2:9" ht="15.75" customHeight="1" x14ac:dyDescent="0.25"/>
    <row r="132" spans="2:9" ht="15.75" customHeight="1" x14ac:dyDescent="0.25">
      <c r="B132" s="35" t="s">
        <v>29</v>
      </c>
      <c r="C132" s="35"/>
      <c r="D132" s="35"/>
      <c r="E132" s="35"/>
      <c r="F132" s="35"/>
      <c r="G132" s="35"/>
    </row>
    <row r="133" spans="2:9" ht="15.75" customHeight="1" x14ac:dyDescent="0.25">
      <c r="B133" s="35"/>
      <c r="C133" s="35"/>
      <c r="D133" s="35"/>
      <c r="E133" s="35"/>
      <c r="F133" s="35"/>
      <c r="G133" s="35"/>
    </row>
    <row r="134" spans="2:9" ht="15.75" customHeight="1" x14ac:dyDescent="0.25">
      <c r="B134" s="35"/>
      <c r="C134" s="35"/>
      <c r="D134" s="35"/>
      <c r="E134" s="35"/>
      <c r="F134" s="35"/>
      <c r="G134" s="35"/>
    </row>
    <row r="135" spans="2:9" ht="15.75" customHeight="1" x14ac:dyDescent="0.25">
      <c r="B135" s="35"/>
      <c r="C135" s="35"/>
      <c r="D135" s="35"/>
      <c r="E135" s="35"/>
      <c r="F135" s="35"/>
      <c r="G135" s="35"/>
    </row>
    <row r="136" spans="2:9" ht="15.75" customHeight="1" x14ac:dyDescent="0.25">
      <c r="B136" s="35"/>
      <c r="C136" s="35"/>
      <c r="D136" s="35"/>
      <c r="E136" s="35"/>
      <c r="F136" s="35"/>
      <c r="G136" s="35"/>
    </row>
    <row r="137" spans="2:9" ht="15.75" customHeight="1" x14ac:dyDescent="0.25">
      <c r="B137" s="35"/>
      <c r="C137" s="35"/>
      <c r="D137" s="35"/>
      <c r="E137" s="35"/>
      <c r="F137" s="35"/>
      <c r="G137" s="35"/>
    </row>
    <row r="138" spans="2:9" ht="15.75" customHeight="1" x14ac:dyDescent="0.25">
      <c r="B138" s="35"/>
      <c r="C138" s="35"/>
      <c r="D138" s="35"/>
      <c r="E138" s="35"/>
      <c r="F138" s="35"/>
      <c r="G138" s="35"/>
    </row>
    <row r="139" spans="2:9" ht="15.75" customHeight="1" x14ac:dyDescent="0.25">
      <c r="B139" s="35"/>
      <c r="C139" s="35"/>
      <c r="D139" s="35"/>
      <c r="E139" s="35"/>
      <c r="F139" s="35"/>
      <c r="G139" s="35"/>
    </row>
    <row r="140" spans="2:9" ht="15.75" customHeight="1" x14ac:dyDescent="0.25"/>
    <row r="141" spans="2:9" ht="15.75" customHeight="1" x14ac:dyDescent="0.25"/>
    <row r="142" spans="2:9" ht="15.75" customHeight="1" x14ac:dyDescent="0.25"/>
    <row r="143" spans="2:9" ht="15.75" customHeight="1" x14ac:dyDescent="0.25">
      <c r="B143" s="3"/>
      <c r="C143" s="3" t="s">
        <v>17</v>
      </c>
      <c r="D143" s="3" t="s">
        <v>21</v>
      </c>
      <c r="E143" s="3" t="s">
        <v>22</v>
      </c>
      <c r="F143" s="3" t="s">
        <v>23</v>
      </c>
      <c r="G143" s="3" t="s">
        <v>24</v>
      </c>
      <c r="H143" s="3" t="s">
        <v>25</v>
      </c>
      <c r="I143" s="3" t="s">
        <v>26</v>
      </c>
    </row>
    <row r="144" spans="2:9" ht="15.75" customHeight="1" x14ac:dyDescent="0.25">
      <c r="B144" s="2" t="s">
        <v>91</v>
      </c>
      <c r="C144" s="5">
        <v>5</v>
      </c>
      <c r="D144" s="4">
        <v>1</v>
      </c>
      <c r="E144" s="4">
        <v>1</v>
      </c>
      <c r="F144" s="4">
        <v>1</v>
      </c>
      <c r="G144" s="4">
        <v>1</v>
      </c>
      <c r="H144" s="4">
        <v>1</v>
      </c>
      <c r="I144" s="6">
        <f>SUM(D144:H144)</f>
        <v>5</v>
      </c>
    </row>
    <row r="145" spans="2:9" ht="15.75" customHeight="1" x14ac:dyDescent="0.25">
      <c r="B145" s="2" t="s">
        <v>92</v>
      </c>
      <c r="C145" s="5">
        <v>4</v>
      </c>
      <c r="D145" s="4">
        <v>1</v>
      </c>
      <c r="E145" s="4">
        <v>1</v>
      </c>
      <c r="F145" s="4">
        <v>1</v>
      </c>
      <c r="G145" s="4">
        <v>1</v>
      </c>
      <c r="H145" s="4">
        <v>0</v>
      </c>
      <c r="I145" s="6">
        <f>SUM(D145:H145)</f>
        <v>4</v>
      </c>
    </row>
    <row r="146" spans="2:9" ht="15.75" customHeight="1" x14ac:dyDescent="0.25">
      <c r="B146" s="2" t="s">
        <v>93</v>
      </c>
      <c r="C146" s="5">
        <v>6</v>
      </c>
      <c r="D146" s="4">
        <v>2</v>
      </c>
      <c r="E146" s="4">
        <v>1</v>
      </c>
      <c r="F146" s="4">
        <v>1</v>
      </c>
      <c r="G146" s="4">
        <v>1</v>
      </c>
      <c r="H146" s="4">
        <v>1</v>
      </c>
      <c r="I146" s="6">
        <f>SUM(D146:H146)</f>
        <v>6</v>
      </c>
    </row>
    <row r="147" spans="2:9" ht="15.75" customHeight="1" x14ac:dyDescent="0.25"/>
    <row r="148" spans="2:9" ht="15.75" customHeight="1" x14ac:dyDescent="0.25"/>
    <row r="149" spans="2:9" ht="15.75" customHeight="1" x14ac:dyDescent="0.25">
      <c r="B149" s="8"/>
      <c r="C149" s="3"/>
      <c r="D149" s="3"/>
      <c r="E149" s="3"/>
      <c r="F149" s="3"/>
      <c r="G149" s="3"/>
      <c r="H149" s="3"/>
    </row>
    <row r="150" spans="2:9" ht="15.75" customHeight="1" x14ac:dyDescent="0.25"/>
    <row r="151" spans="2:9" ht="15.75" customHeight="1" x14ac:dyDescent="0.25">
      <c r="B151" s="7" t="s">
        <v>27</v>
      </c>
      <c r="C151" s="3">
        <f>SUM(C144:C146)</f>
        <v>15</v>
      </c>
      <c r="D151" s="3">
        <f>C151-SUM(D144:D146)</f>
        <v>11</v>
      </c>
      <c r="E151" s="3">
        <f>D151-SUM(E144:E146)</f>
        <v>8</v>
      </c>
      <c r="F151" s="3">
        <f>E151-SUM(F144:F146)</f>
        <v>5</v>
      </c>
      <c r="G151" s="3">
        <f>F151-SUM(G144:G146)</f>
        <v>2</v>
      </c>
      <c r="H151" s="3">
        <f>G151-SUM(H144:H146)</f>
        <v>0</v>
      </c>
    </row>
    <row r="152" spans="2:9" ht="15.75" customHeight="1" x14ac:dyDescent="0.25">
      <c r="B152" s="7" t="s">
        <v>28</v>
      </c>
      <c r="C152" s="3">
        <f>SUM(C144:C146)</f>
        <v>15</v>
      </c>
      <c r="D152" s="3">
        <f>C152-(SUM(C144:C146)/5)</f>
        <v>12</v>
      </c>
      <c r="E152" s="3">
        <f>D152-(SUM(D144:D146)/5)</f>
        <v>11.2</v>
      </c>
      <c r="F152" s="3">
        <f>E152-(SUM(E144:E146)/5)</f>
        <v>10.6</v>
      </c>
      <c r="G152" s="3">
        <f>F152-(SUM(F144:F146)/5)</f>
        <v>10</v>
      </c>
      <c r="H152" s="3">
        <f>G152-(SUM(G144:G146)/5)</f>
        <v>9.4</v>
      </c>
    </row>
    <row r="153" spans="2:9" ht="15.75" customHeight="1" x14ac:dyDescent="0.25"/>
    <row r="154" spans="2:9" ht="15.75" customHeight="1" x14ac:dyDescent="0.25"/>
    <row r="155" spans="2:9" ht="15.75" customHeight="1" x14ac:dyDescent="0.25"/>
    <row r="156" spans="2:9" ht="15.75" customHeight="1" x14ac:dyDescent="0.25">
      <c r="B156" s="35" t="s">
        <v>29</v>
      </c>
      <c r="C156" s="35"/>
      <c r="D156" s="35"/>
      <c r="E156" s="35"/>
      <c r="F156" s="35"/>
      <c r="G156" s="35"/>
    </row>
    <row r="157" spans="2:9" ht="15.75" customHeight="1" x14ac:dyDescent="0.25">
      <c r="B157" s="35"/>
      <c r="C157" s="35"/>
      <c r="D157" s="35"/>
      <c r="E157" s="35"/>
      <c r="F157" s="35"/>
      <c r="G157" s="35"/>
    </row>
    <row r="158" spans="2:9" ht="15.75" customHeight="1" x14ac:dyDescent="0.25">
      <c r="B158" s="35"/>
      <c r="C158" s="35"/>
      <c r="D158" s="35"/>
      <c r="E158" s="35"/>
      <c r="F158" s="35"/>
      <c r="G158" s="35"/>
    </row>
    <row r="159" spans="2:9" ht="15.75" customHeight="1" x14ac:dyDescent="0.25">
      <c r="B159" s="35"/>
      <c r="C159" s="35"/>
      <c r="D159" s="35"/>
      <c r="E159" s="35"/>
      <c r="F159" s="35"/>
      <c r="G159" s="35"/>
    </row>
    <row r="160" spans="2:9" ht="15.75" customHeight="1" x14ac:dyDescent="0.25">
      <c r="B160" s="35"/>
      <c r="C160" s="35"/>
      <c r="D160" s="35"/>
      <c r="E160" s="35"/>
      <c r="F160" s="35"/>
      <c r="G160" s="35"/>
    </row>
    <row r="161" spans="2:7" ht="15.75" customHeight="1" x14ac:dyDescent="0.25">
      <c r="B161" s="35"/>
      <c r="C161" s="35"/>
      <c r="D161" s="35"/>
      <c r="E161" s="35"/>
      <c r="F161" s="35"/>
      <c r="G161" s="35"/>
    </row>
    <row r="162" spans="2:7" ht="15.75" customHeight="1" x14ac:dyDescent="0.25">
      <c r="B162" s="35"/>
      <c r="C162" s="35"/>
      <c r="D162" s="35"/>
      <c r="E162" s="35"/>
      <c r="F162" s="35"/>
      <c r="G162" s="35"/>
    </row>
    <row r="163" spans="2:7" ht="15.75" customHeight="1" x14ac:dyDescent="0.25">
      <c r="B163" s="35"/>
      <c r="C163" s="35"/>
      <c r="D163" s="35"/>
      <c r="E163" s="35"/>
      <c r="F163" s="35"/>
      <c r="G163" s="35"/>
    </row>
    <row r="164" spans="2:7" ht="15.75" customHeight="1" x14ac:dyDescent="0.25"/>
    <row r="165" spans="2:7" ht="15.75" customHeight="1" x14ac:dyDescent="0.25"/>
    <row r="166" spans="2:7" ht="15.75" customHeight="1" x14ac:dyDescent="0.25"/>
    <row r="167" spans="2:7" ht="15.75" customHeight="1" x14ac:dyDescent="0.25"/>
    <row r="168" spans="2:7" ht="15.75" customHeight="1" x14ac:dyDescent="0.25"/>
    <row r="169" spans="2:7" ht="15.75" customHeight="1" x14ac:dyDescent="0.25"/>
    <row r="170" spans="2:7" ht="15.75" customHeight="1" x14ac:dyDescent="0.25"/>
    <row r="171" spans="2:7" ht="15.75" customHeight="1" x14ac:dyDescent="0.25"/>
    <row r="172" spans="2:7" ht="15.75" customHeight="1" x14ac:dyDescent="0.25"/>
    <row r="173" spans="2:7" ht="15.75" customHeight="1" x14ac:dyDescent="0.25"/>
    <row r="174" spans="2:7" ht="15.75" customHeight="1" x14ac:dyDescent="0.25"/>
    <row r="175" spans="2:7" ht="15.75" customHeight="1" x14ac:dyDescent="0.25"/>
    <row r="176" spans="2: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</sheetData>
  <mergeCells count="6">
    <mergeCell ref="B156:G163"/>
    <mergeCell ref="B108:G115"/>
    <mergeCell ref="B16:G23"/>
    <mergeCell ref="B45:G52"/>
    <mergeCell ref="B76:G83"/>
    <mergeCell ref="B132:G139"/>
  </mergeCells>
  <phoneticPr fontId="4" type="noConversion"/>
  <pageMargins left="0.7" right="0.7" top="0.75" bottom="0.75" header="0" footer="0"/>
  <pageSetup orientation="landscape"/>
  <drawing r:id="rId1"/>
  <tableParts count="6"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Backlog</vt:lpstr>
      <vt:lpstr>sprint0</vt:lpstr>
      <vt:lpstr>sprint1</vt:lpstr>
      <vt:lpstr>sprint2</vt:lpstr>
      <vt:lpstr>sprint3</vt:lpstr>
      <vt:lpstr>burdonchart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Kevin Andrès Cañola Marquez</cp:lastModifiedBy>
  <dcterms:created xsi:type="dcterms:W3CDTF">2023-06-05T13:12:31Z</dcterms:created>
  <dcterms:modified xsi:type="dcterms:W3CDTF">2025-12-01T22:09:55Z</dcterms:modified>
</cp:coreProperties>
</file>