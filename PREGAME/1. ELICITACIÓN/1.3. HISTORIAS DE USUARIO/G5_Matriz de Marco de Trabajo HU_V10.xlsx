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rdenador\Downloads\"/>
    </mc:Choice>
  </mc:AlternateContent>
  <xr:revisionPtr revIDLastSave="0" documentId="8_{54E59C67-C5D2-4C9D-8982-4D28F2E5F6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NGkBTMA7r/+PxmOhB9lRm6CfgtH2Hn0zJgcueEAPYk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<sst xmlns="http://schemas.openxmlformats.org/spreadsheetml/2006/main" count="103" uniqueCount="77">
  <si>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</si>
  <si>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</si>
  <si>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</si>
  <si>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</si>
  <si>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</si>
  <si>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</si>
  <si>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</si>
  <si>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</si>
  <si>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</si>
  <si>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</si>
  <si>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</si>
  <si>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</si>
  <si>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</si>
  <si>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</si>
  <si>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</si>
  <si>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</si>
  <si>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</si>
  <si>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En proceso</t>
  </si>
  <si>
    <t>REQ002</t>
  </si>
  <si>
    <t>REQ003</t>
  </si>
  <si>
    <t>REQ004</t>
  </si>
  <si>
    <t>No iniciado</t>
  </si>
  <si>
    <t xml:space="preserve">Media </t>
  </si>
  <si>
    <t>.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</si>
  <si>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</si>
  <si>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</si>
  <si>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</si>
  <si>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</si>
  <si>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</si>
  <si>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</si>
  <si>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</si>
  <si>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</si>
  <si>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</si>
  <si>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</si>
  <si>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</si>
  <si>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</si>
  <si>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Administrador</t>
  </si>
  <si>
    <t>Generación de Proformas</t>
  </si>
  <si>
    <t>Kevin Cañola</t>
  </si>
  <si>
    <t>Mateo Lugmaña</t>
  </si>
  <si>
    <t>Cristhian Marcalla</t>
  </si>
  <si>
    <t>Proformas de cotización</t>
  </si>
  <si>
    <t>Registro de cliente</t>
  </si>
  <si>
    <t>Inicio de seción</t>
  </si>
  <si>
    <t>Registro de clientes</t>
  </si>
  <si>
    <t>Eduardo Tasiguano</t>
  </si>
  <si>
    <t>Acceso al sistema</t>
  </si>
  <si>
    <t>Para proteger la información del sistema y evitar accesos no autorizados.</t>
  </si>
  <si>
    <t>El sistema deberá permitir registrar nuevos clientes con sus datos personales y de contacto.</t>
  </si>
  <si>
    <t>Para agilizar la atención a los clientes y llevar un registro formal de las cotizaciones.</t>
  </si>
  <si>
    <t>El registro de un cliente únicamente podrá completarse cuando todos los datos requeridos estén llenos. Si falta información, la plataforma evitará guardar el formulario y mostrará un mensaje de advertencia.</t>
  </si>
  <si>
    <t>El sistema deberá contar con un inicio de sesión para el Administrador.</t>
  </si>
  <si>
    <t>Para mantener un registro actualizado de los clientes y facilitar su gestión al momento de generar proformas.</t>
  </si>
  <si>
    <t>El sistema deberá permitir generar proformas o reportes de cotización para clientes.</t>
  </si>
  <si>
    <t>Se implementará un formulario donde el Administrador podrá ingresar los datos del cliente, seleccionar los productos del catálogo, definir cantidades y precios. Con esta información, el sistema generará automáticamente la proforma y permitirá descargarla en formato PDF.</t>
  </si>
  <si>
    <t>El sistema deberá generar un PDF que incluya correctamente los datos ingresados en el formulario: información del cliente, productos seleccionados, cantidades, precios y el total de la cotización. Se verificará que el archivo pueda descargarse sin errores y que todos los valores coincidan con lo ingresado.</t>
  </si>
  <si>
    <t>El acceso solo será posible cuando el usuario y la contraseña sean correctos. Después de tres intentos fallidos, la entrada quedará bloqueada por 3 minutos antes de permitir nuevos intentos.</t>
  </si>
  <si>
    <t>Busqueda de cliente</t>
  </si>
  <si>
    <t>Se implementará un formulario que permitirá guardar los nombres completos, el número de cedula, número de celular, dirección(calle principal, calle secundaria y sector) y si es mayorista o no.</t>
  </si>
  <si>
    <t>Para localizar rápidamente la información de clientes registrados.</t>
  </si>
  <si>
    <t>El sistema deberá mostrar solo los registros que coincidan con el dato buscado. Si no existe coincidencia, se mostrará un mensaje "cliente no encontrado".</t>
  </si>
  <si>
    <t>El sistema deberá permitir buscar clientes por nombre o cédula.</t>
  </si>
  <si>
    <t>Se implementará un formulario de búsqueda que filtrará los registros según el nombre o numero de cédula.</t>
  </si>
  <si>
    <t>Modificación de cliente</t>
  </si>
  <si>
    <t>El sistema deberá permitir modificar la información de un cliente previamente registrado.</t>
  </si>
  <si>
    <t>Para mantener los datos(nombre, cedula, telefono,direccion, mayorista) siempre actualizados.</t>
  </si>
  <si>
    <t>Desde el formulario de busqueda de cliente se permitira, editar sus datos y guardar los cambios actualizados en la base.</t>
  </si>
  <si>
    <t>Modificación del cliente</t>
  </si>
  <si>
    <t>REQ005</t>
  </si>
  <si>
    <t>Eliminación de cliente</t>
  </si>
  <si>
    <t>El sistema deberá permitir eliminar clientes registrados de manera permanente.</t>
  </si>
  <si>
    <t>Para mantener la base de datos limpia y sin registros innecesarios.</t>
  </si>
  <si>
    <t>Desde el formulario de busqueda de cliente se permitira, eliminar al cliente.</t>
  </si>
  <si>
    <t>REQ006</t>
  </si>
  <si>
    <t>Desde el módulo Cliente, el Administrador podrá seleccionar un cliente y usar la opción “Eliminar”, confirmando la acción para removerlo definitivamente de la base de datos.</t>
  </si>
  <si>
    <t>Desde el módulo Cliente, el Administrador podrá seleccionar un cliente y acceder a la opción “Modificar”, donde podrá actualizar los datos y guardarlos nuevamente en la base.</t>
  </si>
  <si>
    <t>Se creará un usuario y una contraseña exclusiva para el administrador. Con el cual podrá ingresar a su apartado designado. Tal caso se olvido la contraseña, se le hará una pregunta de seguridad para que pueda entrar.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</si>
</sst>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17" x14ac:knownFonts="1">
    <font>
      <sz val="11"/>
      <color theme="1"/>
      <name val="Arial"/>
      <scheme val="minor"/>
    </font>
    <font>
      <sz val="11"/>
      <name val="Arial"/>
    </font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  <font>
      <sz val="8"/>
      <name val="Arial"/>
      <scheme val="minor"/>
    </font>
    <font>
      <sz val="11"/>
      <color theme="1"/>
      <name val="Aptos Display"/>
      <family val="2"/>
    </font>
    <font>
      <sz val="16"/>
      <color theme="1"/>
      <name val="Aptos Display"/>
      <family val="2"/>
    </font>
    <font>
      <sz val="10"/>
      <color theme="1"/>
      <name val="Aptos Display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2" fillId="5" borderId="6" xfId="0" applyFont="1" applyFill="1" applyBorder="1"/>
    <xf numFmtId="0" fontId="3" fillId="5" borderId="7" xfId="0" applyFont="1" applyFill="1" applyBorder="1" applyAlignment="1">
      <alignment horizontal="left" vertical="center" wrapText="1"/>
    </xf>
    <xf numFmtId="0" fontId="4" fillId="5" borderId="7" xfId="0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0" fontId="2" fillId="5" borderId="9" xfId="0" applyFont="1" applyFill="1" applyBorder="1"/>
    <xf numFmtId="0" fontId="6" fillId="6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vertical="center"/>
    </xf>
    <xf numFmtId="0" fontId="2" fillId="5" borderId="5" xfId="0" applyFont="1" applyFill="1" applyBorder="1"/>
    <xf numFmtId="0" fontId="2" fillId="5" borderId="10" xfId="0" applyFont="1" applyFill="1" applyBorder="1"/>
    <xf numFmtId="0" fontId="8" fillId="3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/>
    </xf>
    <xf numFmtId="0" fontId="2" fillId="5" borderId="28" xfId="0" applyFont="1" applyFill="1" applyBorder="1"/>
    <xf numFmtId="0" fontId="2" fillId="5" borderId="29" xfId="0" applyFont="1" applyFill="1" applyBorder="1"/>
    <xf numFmtId="0" fontId="2" fillId="5" borderId="30" xfId="0" applyFont="1" applyFill="1" applyBorder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2" fillId="0" borderId="0" xfId="0" applyNumberFormat="1" applyFont="1"/>
    <xf numFmtId="0" fontId="14" fillId="0" borderId="0" xfId="0" applyFont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6" fillId="3" borderId="31" xfId="0" applyFont="1" applyFill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164" fontId="16" fillId="3" borderId="31" xfId="0" applyNumberFormat="1" applyFont="1" applyFill="1" applyBorder="1" applyAlignment="1">
      <alignment horizontal="center" vertical="center" wrapText="1"/>
    </xf>
    <xf numFmtId="0" fontId="16" fillId="4" borderId="31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165" fontId="16" fillId="3" borderId="5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4" fillId="2" borderId="3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49" fontId="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1" fillId="0" borderId="13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9" xfId="0" applyFont="1" applyBorder="1"/>
    <xf numFmtId="0" fontId="1" fillId="0" borderId="20" xfId="0" applyFont="1" applyBorder="1"/>
    <xf numFmtId="49" fontId="4" fillId="3" borderId="12" xfId="0" applyNumberFormat="1" applyFont="1" applyFill="1" applyBorder="1" applyAlignment="1">
      <alignment horizontal="left" vertical="center" wrapText="1"/>
    </xf>
    <xf numFmtId="0" fontId="1" fillId="0" borderId="14" xfId="0" applyFont="1" applyBorder="1"/>
    <xf numFmtId="0" fontId="1" fillId="0" borderId="21" xfId="0" applyFont="1" applyBorder="1"/>
    <xf numFmtId="0" fontId="4" fillId="3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/>
    </xf>
    <xf numFmtId="0" fontId="1" fillId="0" borderId="15" xfId="0" applyFont="1" applyBorder="1"/>
    <xf numFmtId="0" fontId="1" fillId="0" borderId="18" xfId="0" applyFont="1" applyBorder="1"/>
    <xf numFmtId="0" fontId="4" fillId="3" borderId="12" xfId="0" applyFont="1" applyFill="1" applyBorder="1" applyAlignment="1">
      <alignment horizontal="left" vertical="center"/>
    </xf>
    <xf numFmtId="0" fontId="8" fillId="2" borderId="22" xfId="0" applyFont="1" applyFill="1" applyBorder="1" applyAlignment="1">
      <alignment horizontal="center" vertical="center"/>
    </xf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9" fillId="8" borderId="1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" fillId="0" borderId="3" xfId="0" applyFont="1" applyBorder="1"/>
    <xf numFmtId="0" fontId="4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1" fillId="0" borderId="2" xfId="0" applyFont="1" applyBorder="1"/>
    <xf numFmtId="49" fontId="4" fillId="0" borderId="0" xfId="0" applyNumberFormat="1" applyFont="1" applyAlignment="1">
      <alignment wrapText="1"/>
    </xf>
    <xf numFmtId="0" fontId="2" fillId="0" borderId="0" xfId="0" applyFont="1"/>
    <xf numFmtId="0" fontId="12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49" fontId="10" fillId="0" borderId="0" xfId="0" applyNumberFormat="1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Z1003"/>
  <sheetViews>
    <sheetView showGridLines="0" tabSelected="1" topLeftCell="A6" zoomScale="70" zoomScaleNormal="70" workbookViewId="0">
      <selection activeCell="G7" sqref="G7"/>
    </sheetView>
  </sheetViews>
  <sheetFormatPr baseColWidth="10" defaultColWidth="12.59765625" defaultRowHeight="134.25" customHeight="1" x14ac:dyDescent="0.25"/>
  <cols>
    <col min="1" max="1" width="4.59765625" style="34" customWidth="1"/>
    <col min="2" max="2" width="6.59765625" style="34" customWidth="1"/>
    <col min="3" max="3" width="25.19921875" style="34" customWidth="1"/>
    <col min="4" max="4" width="31.09765625" style="34" customWidth="1"/>
    <col min="5" max="5" width="20.59765625" style="34" customWidth="1"/>
    <col min="6" max="6" width="13.09765625" style="34" customWidth="1"/>
    <col min="7" max="7" width="39.69921875" style="34" customWidth="1"/>
    <col min="8" max="12" width="10.59765625" style="34" customWidth="1"/>
    <col min="13" max="13" width="32.69921875" style="34" customWidth="1"/>
    <col min="14" max="15" width="20.59765625" style="34" customWidth="1"/>
    <col min="16" max="26" width="9.3984375" style="34" customWidth="1"/>
    <col min="27" max="16384" width="12.59765625" style="34"/>
  </cols>
  <sheetData>
    <row r="3" spans="1:26" ht="134.25" customHeight="1" x14ac:dyDescent="0.25">
      <c r="B3" s="45" t="s">
        <v>0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7"/>
    </row>
    <row r="5" spans="1:26" ht="134.25" customHeight="1" x14ac:dyDescent="0.25">
      <c r="B5" s="44" t="s">
        <v>1</v>
      </c>
      <c r="C5" s="44" t="s">
        <v>2</v>
      </c>
      <c r="D5" s="44" t="s">
        <v>3</v>
      </c>
      <c r="E5" s="44" t="s">
        <v>4</v>
      </c>
      <c r="F5" s="44" t="s">
        <v>5</v>
      </c>
      <c r="G5" s="44" t="s">
        <v>6</v>
      </c>
      <c r="H5" s="44" t="s">
        <v>7</v>
      </c>
      <c r="I5" s="44" t="s">
        <v>8</v>
      </c>
      <c r="J5" s="44" t="s">
        <v>9</v>
      </c>
      <c r="K5" s="44" t="s">
        <v>10</v>
      </c>
      <c r="L5" s="44" t="s">
        <v>11</v>
      </c>
      <c r="M5" s="44" t="s">
        <v>12</v>
      </c>
      <c r="N5" s="44" t="s">
        <v>13</v>
      </c>
      <c r="O5" s="44" t="s">
        <v>14</v>
      </c>
    </row>
    <row r="6" spans="1:26" ht="149.25" customHeight="1" x14ac:dyDescent="0.25">
      <c r="A6" s="35"/>
      <c r="B6" s="36" t="s">
        <v>15</v>
      </c>
      <c r="C6" s="36" t="s">
        <v>43</v>
      </c>
      <c r="D6" s="37" t="s">
        <v>51</v>
      </c>
      <c r="E6" s="37" t="s">
        <v>47</v>
      </c>
      <c r="F6" s="36" t="s">
        <v>36</v>
      </c>
      <c r="G6" s="37" t="s">
        <v>76</v>
      </c>
      <c r="H6" s="36" t="s">
        <v>45</v>
      </c>
      <c r="I6" s="36">
        <v>8</v>
      </c>
      <c r="J6" s="38">
        <v>45991</v>
      </c>
      <c r="K6" s="36" t="s">
        <v>16</v>
      </c>
      <c r="L6" s="36" t="s">
        <v>21</v>
      </c>
      <c r="M6" s="37" t="s">
        <v>56</v>
      </c>
      <c r="N6" s="36"/>
      <c r="O6" s="39" t="s">
        <v>46</v>
      </c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34.25" customHeight="1" x14ac:dyDescent="0.25">
      <c r="A7" s="35"/>
      <c r="B7" s="36" t="s">
        <v>18</v>
      </c>
      <c r="C7" s="36" t="s">
        <v>42</v>
      </c>
      <c r="D7" s="37" t="s">
        <v>48</v>
      </c>
      <c r="E7" s="37" t="s">
        <v>52</v>
      </c>
      <c r="F7" s="36" t="s">
        <v>36</v>
      </c>
      <c r="G7" s="37" t="s">
        <v>58</v>
      </c>
      <c r="H7" s="36" t="s">
        <v>38</v>
      </c>
      <c r="I7" s="36">
        <v>8</v>
      </c>
      <c r="J7" s="38">
        <v>45991</v>
      </c>
      <c r="K7" s="36" t="s">
        <v>16</v>
      </c>
      <c r="L7" s="36" t="s">
        <v>21</v>
      </c>
      <c r="M7" s="37" t="s">
        <v>50</v>
      </c>
      <c r="N7" s="36"/>
      <c r="O7" s="39" t="s">
        <v>44</v>
      </c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34.25" customHeight="1" x14ac:dyDescent="0.25">
      <c r="A8" s="35"/>
      <c r="B8" s="36" t="s">
        <v>19</v>
      </c>
      <c r="C8" s="36" t="s">
        <v>57</v>
      </c>
      <c r="D8" s="37" t="s">
        <v>61</v>
      </c>
      <c r="E8" s="37" t="s">
        <v>59</v>
      </c>
      <c r="F8" s="36" t="s">
        <v>36</v>
      </c>
      <c r="G8" s="37" t="s">
        <v>62</v>
      </c>
      <c r="H8" s="36" t="s">
        <v>38</v>
      </c>
      <c r="I8" s="36">
        <v>8</v>
      </c>
      <c r="J8" s="38">
        <v>45992</v>
      </c>
      <c r="K8" s="36" t="s">
        <v>16</v>
      </c>
      <c r="L8" s="36" t="s">
        <v>21</v>
      </c>
      <c r="M8" s="37" t="s">
        <v>60</v>
      </c>
      <c r="N8" s="36"/>
      <c r="O8" s="36" t="s">
        <v>57</v>
      </c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34.25" customHeight="1" x14ac:dyDescent="0.25">
      <c r="A9" s="35"/>
      <c r="B9" s="36" t="s">
        <v>20</v>
      </c>
      <c r="C9" s="36" t="s">
        <v>63</v>
      </c>
      <c r="D9" s="37" t="s">
        <v>64</v>
      </c>
      <c r="E9" s="37" t="s">
        <v>65</v>
      </c>
      <c r="F9" s="36" t="s">
        <v>36</v>
      </c>
      <c r="G9" s="37" t="s">
        <v>72</v>
      </c>
      <c r="H9" s="36" t="s">
        <v>39</v>
      </c>
      <c r="I9" s="36">
        <v>8</v>
      </c>
      <c r="J9" s="38">
        <v>45993</v>
      </c>
      <c r="K9" s="36" t="s">
        <v>16</v>
      </c>
      <c r="L9" s="36" t="s">
        <v>21</v>
      </c>
      <c r="M9" s="37" t="s">
        <v>75</v>
      </c>
      <c r="N9" s="36"/>
      <c r="O9" s="36" t="s">
        <v>67</v>
      </c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34.25" customHeight="1" x14ac:dyDescent="0.25">
      <c r="A10" s="35"/>
      <c r="B10" s="36" t="s">
        <v>68</v>
      </c>
      <c r="C10" s="37" t="s">
        <v>69</v>
      </c>
      <c r="D10" s="37" t="s">
        <v>70</v>
      </c>
      <c r="E10" s="37" t="s">
        <v>71</v>
      </c>
      <c r="F10" s="36" t="s">
        <v>36</v>
      </c>
      <c r="G10" s="37" t="s">
        <v>66</v>
      </c>
      <c r="H10" s="36" t="s">
        <v>39</v>
      </c>
      <c r="I10" s="36">
        <v>8</v>
      </c>
      <c r="J10" s="38">
        <v>45994</v>
      </c>
      <c r="K10" s="36" t="s">
        <v>16</v>
      </c>
      <c r="L10" s="36" t="s">
        <v>21</v>
      </c>
      <c r="M10" s="37" t="s">
        <v>74</v>
      </c>
      <c r="N10" s="36"/>
      <c r="O10" s="37" t="s">
        <v>69</v>
      </c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34.25" customHeight="1" x14ac:dyDescent="0.25">
      <c r="A11" s="35"/>
      <c r="B11" s="36" t="s">
        <v>73</v>
      </c>
      <c r="C11" s="36" t="s">
        <v>41</v>
      </c>
      <c r="D11" s="37" t="s">
        <v>53</v>
      </c>
      <c r="E11" s="37" t="s">
        <v>49</v>
      </c>
      <c r="F11" s="36" t="s">
        <v>36</v>
      </c>
      <c r="G11" s="37" t="s">
        <v>54</v>
      </c>
      <c r="H11" s="36" t="s">
        <v>40</v>
      </c>
      <c r="I11" s="36">
        <v>12</v>
      </c>
      <c r="J11" s="38">
        <v>45991</v>
      </c>
      <c r="K11" s="36" t="s">
        <v>16</v>
      </c>
      <c r="L11" s="36" t="s">
        <v>21</v>
      </c>
      <c r="M11" s="37" t="s">
        <v>55</v>
      </c>
      <c r="N11" s="36"/>
      <c r="O11" s="39" t="s">
        <v>37</v>
      </c>
    </row>
    <row r="12" spans="1:26" ht="134.25" customHeight="1" x14ac:dyDescent="0.25">
      <c r="A12" s="35"/>
    </row>
    <row r="13" spans="1:26" ht="134.25" customHeight="1" x14ac:dyDescent="0.25">
      <c r="A13" s="35"/>
    </row>
    <row r="14" spans="1:26" ht="134.25" customHeight="1" x14ac:dyDescent="0.25">
      <c r="A14" s="35"/>
    </row>
    <row r="15" spans="1:26" ht="134.25" customHeight="1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</row>
    <row r="16" spans="1:26" ht="134.25" customHeight="1" x14ac:dyDescent="0.2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</row>
    <row r="17" spans="1:15" ht="134.25" customHeight="1" x14ac:dyDescent="0.25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</row>
    <row r="18" spans="1:15" ht="134.25" customHeight="1" x14ac:dyDescent="0.25">
      <c r="A18" s="35"/>
      <c r="B18" s="41"/>
      <c r="C18" s="41"/>
      <c r="D18" s="41"/>
      <c r="E18" s="35"/>
      <c r="F18" s="41"/>
      <c r="G18" s="41"/>
      <c r="H18" s="41"/>
      <c r="I18" s="41"/>
      <c r="J18" s="42"/>
      <c r="K18" s="41"/>
      <c r="L18" s="41"/>
      <c r="M18" s="41"/>
      <c r="N18" s="41"/>
      <c r="O18" s="43"/>
    </row>
    <row r="19" spans="1:15" ht="134.25" customHeight="1" x14ac:dyDescent="0.25">
      <c r="A19" s="35"/>
      <c r="B19" s="41"/>
      <c r="C19" s="41"/>
      <c r="D19" s="41"/>
      <c r="E19" s="41"/>
      <c r="F19" s="41"/>
      <c r="G19" s="41"/>
      <c r="H19" s="41"/>
      <c r="I19" s="41"/>
      <c r="J19" s="42"/>
      <c r="K19" s="41"/>
      <c r="L19" s="41"/>
      <c r="M19" s="41"/>
      <c r="N19" s="35"/>
      <c r="O19" s="43"/>
    </row>
    <row r="20" spans="1:15" ht="134.25" customHeight="1" x14ac:dyDescent="0.25">
      <c r="A20" s="35"/>
      <c r="B20" s="41"/>
      <c r="C20" s="41"/>
      <c r="D20" s="41"/>
      <c r="E20" s="35"/>
      <c r="F20" s="41"/>
      <c r="G20" s="41"/>
      <c r="H20" s="41"/>
      <c r="I20" s="41"/>
      <c r="J20" s="42"/>
      <c r="K20" s="41"/>
      <c r="L20" s="41"/>
      <c r="M20" s="41"/>
      <c r="N20" s="41"/>
      <c r="O20" s="43"/>
    </row>
    <row r="21" spans="1:15" ht="134.25" customHeight="1" x14ac:dyDescent="0.25">
      <c r="A21" s="35"/>
      <c r="B21" s="41"/>
      <c r="C21" s="41"/>
      <c r="D21" s="41"/>
      <c r="E21" s="41"/>
      <c r="F21" s="41"/>
      <c r="G21" s="41"/>
      <c r="H21" s="41"/>
      <c r="I21" s="41"/>
      <c r="J21" s="42"/>
      <c r="K21" s="41"/>
      <c r="L21" s="41"/>
      <c r="M21" s="35"/>
      <c r="N21" s="41"/>
      <c r="O21" s="43"/>
    </row>
    <row r="22" spans="1:15" ht="134.25" customHeight="1" x14ac:dyDescent="0.25">
      <c r="A22" s="35"/>
      <c r="B22" s="41"/>
      <c r="C22" s="41"/>
      <c r="D22" s="41"/>
      <c r="E22" s="41"/>
      <c r="F22" s="41"/>
      <c r="G22" s="41"/>
      <c r="H22" s="41"/>
      <c r="I22" s="41"/>
      <c r="J22" s="42"/>
      <c r="K22" s="41"/>
      <c r="L22" s="41"/>
      <c r="M22" s="41" t="s">
        <v>23</v>
      </c>
      <c r="N22" s="41"/>
      <c r="O22" s="40"/>
    </row>
    <row r="23" spans="1:15" ht="134.25" customHeight="1" x14ac:dyDescent="0.2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</row>
    <row r="24" spans="1:15" ht="134.25" customHeight="1" x14ac:dyDescent="0.2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</row>
    <row r="25" spans="1:15" ht="134.25" customHeight="1" x14ac:dyDescent="0.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</row>
    <row r="26" spans="1:15" ht="134.25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</row>
    <row r="27" spans="1:15" ht="134.25" customHeight="1" x14ac:dyDescent="0.25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</row>
    <row r="28" spans="1:15" ht="134.25" customHeight="1" x14ac:dyDescent="0.25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</row>
    <row r="29" spans="1:15" ht="134.25" customHeight="1" x14ac:dyDescent="0.25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</row>
    <row r="30" spans="1:15" ht="134.25" customHeight="1" x14ac:dyDescent="0.2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</row>
    <row r="31" spans="1:15" ht="134.25" customHeight="1" x14ac:dyDescent="0.2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</row>
    <row r="32" spans="1:15" ht="134.25" customHeight="1" x14ac:dyDescent="0.25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 t="s">
        <v>16</v>
      </c>
      <c r="L32" s="35" t="s">
        <v>21</v>
      </c>
      <c r="M32" s="35"/>
      <c r="N32" s="35"/>
    </row>
    <row r="33" spans="1:14" ht="134.25" customHeight="1" x14ac:dyDescent="0.25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 t="s">
        <v>22</v>
      </c>
      <c r="L33" s="35" t="s">
        <v>17</v>
      </c>
      <c r="M33" s="35"/>
      <c r="N33" s="35"/>
    </row>
    <row r="34" spans="1:14" ht="134.25" customHeight="1" x14ac:dyDescent="0.25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 t="s">
        <v>24</v>
      </c>
      <c r="L34" s="35" t="s">
        <v>25</v>
      </c>
      <c r="M34" s="35"/>
      <c r="N34" s="35"/>
    </row>
    <row r="35" spans="1:14" ht="134.25" customHeight="1" x14ac:dyDescent="0.2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 t="s">
        <v>26</v>
      </c>
      <c r="M35" s="35"/>
      <c r="N35" s="35"/>
    </row>
    <row r="36" spans="1:14" ht="134.25" customHeight="1" x14ac:dyDescent="0.2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</row>
    <row r="37" spans="1:14" ht="134.25" customHeight="1" x14ac:dyDescent="0.25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</row>
    <row r="38" spans="1:14" ht="134.25" customHeight="1" x14ac:dyDescent="0.25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</row>
    <row r="39" spans="1:14" ht="134.25" customHeight="1" x14ac:dyDescent="0.25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</row>
    <row r="40" spans="1:14" ht="134.25" customHeight="1" x14ac:dyDescent="0.25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</row>
    <row r="41" spans="1:14" ht="134.25" customHeight="1" x14ac:dyDescent="0.25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</row>
    <row r="42" spans="1:14" ht="134.25" customHeight="1" x14ac:dyDescent="0.25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</row>
    <row r="43" spans="1:14" ht="134.25" customHeight="1" x14ac:dyDescent="0.2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</row>
    <row r="44" spans="1:14" ht="134.25" customHeight="1" x14ac:dyDescent="0.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</row>
    <row r="45" spans="1:14" ht="134.25" customHeight="1" x14ac:dyDescent="0.2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</row>
    <row r="46" spans="1:14" ht="134.25" customHeight="1" x14ac:dyDescent="0.25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</row>
    <row r="47" spans="1:14" ht="134.25" customHeight="1" x14ac:dyDescent="0.25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</row>
    <row r="48" spans="1:14" ht="134.25" customHeight="1" x14ac:dyDescent="0.25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</row>
    <row r="49" spans="1:14" ht="134.25" customHeight="1" x14ac:dyDescent="0.25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</row>
    <row r="50" spans="1:14" ht="134.25" customHeight="1" x14ac:dyDescent="0.2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</row>
    <row r="51" spans="1:14" ht="134.25" customHeight="1" x14ac:dyDescent="0.25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</row>
    <row r="52" spans="1:14" ht="134.25" customHeight="1" x14ac:dyDescent="0.2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</row>
    <row r="53" spans="1:14" ht="134.25" customHeight="1" x14ac:dyDescent="0.25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</row>
    <row r="54" spans="1:14" ht="134.25" customHeight="1" x14ac:dyDescent="0.2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</row>
    <row r="55" spans="1:14" ht="134.25" customHeight="1" x14ac:dyDescent="0.2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</row>
    <row r="56" spans="1:14" ht="134.25" customHeight="1" x14ac:dyDescent="0.2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</row>
    <row r="57" spans="1:14" ht="134.25" customHeight="1" x14ac:dyDescent="0.2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</row>
    <row r="58" spans="1:14" ht="134.25" customHeight="1" x14ac:dyDescent="0.2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</row>
    <row r="59" spans="1:14" ht="134.25" customHeight="1" x14ac:dyDescent="0.2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</row>
    <row r="60" spans="1:14" ht="134.25" customHeight="1" x14ac:dyDescent="0.2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</row>
    <row r="61" spans="1:14" ht="134.25" customHeight="1" x14ac:dyDescent="0.25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</row>
    <row r="62" spans="1:14" ht="134.25" customHeight="1" x14ac:dyDescent="0.2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</row>
    <row r="63" spans="1:14" ht="134.25" customHeight="1" x14ac:dyDescent="0.2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</row>
    <row r="64" spans="1:14" ht="134.25" customHeight="1" x14ac:dyDescent="0.25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</row>
    <row r="65" spans="1:14" ht="134.25" customHeight="1" x14ac:dyDescent="0.2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</row>
    <row r="66" spans="1:14" ht="134.25" customHeight="1" x14ac:dyDescent="0.2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</row>
    <row r="67" spans="1:14" ht="134.25" customHeight="1" x14ac:dyDescent="0.25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</row>
    <row r="68" spans="1:14" ht="134.25" customHeight="1" x14ac:dyDescent="0.2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</row>
    <row r="69" spans="1:14" ht="134.25" customHeight="1" x14ac:dyDescent="0.2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</row>
    <row r="70" spans="1:14" ht="134.25" customHeight="1" x14ac:dyDescent="0.2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</row>
    <row r="71" spans="1:14" ht="134.25" customHeight="1" x14ac:dyDescent="0.2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</row>
    <row r="72" spans="1:14" ht="134.25" customHeight="1" x14ac:dyDescent="0.2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</row>
    <row r="73" spans="1:14" ht="134.25" customHeight="1" x14ac:dyDescent="0.25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</row>
    <row r="74" spans="1:14" ht="134.25" customHeight="1" x14ac:dyDescent="0.25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</row>
    <row r="75" spans="1:14" ht="134.25" customHeight="1" x14ac:dyDescent="0.2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</row>
    <row r="76" spans="1:14" ht="134.25" customHeight="1" x14ac:dyDescent="0.2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</row>
    <row r="77" spans="1:14" ht="134.25" customHeight="1" x14ac:dyDescent="0.2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</row>
    <row r="78" spans="1:14" ht="134.25" customHeight="1" x14ac:dyDescent="0.2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</row>
    <row r="79" spans="1:14" ht="134.25" customHeight="1" x14ac:dyDescent="0.2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</row>
    <row r="80" spans="1:14" ht="134.25" customHeight="1" x14ac:dyDescent="0.2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</row>
    <row r="81" spans="1:14" ht="134.25" customHeight="1" x14ac:dyDescent="0.25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</row>
    <row r="82" spans="1:14" ht="134.25" customHeight="1" x14ac:dyDescent="0.25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</row>
    <row r="83" spans="1:14" ht="134.25" customHeight="1" x14ac:dyDescent="0.25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</row>
    <row r="84" spans="1:14" ht="134.25" customHeight="1" x14ac:dyDescent="0.25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</row>
    <row r="85" spans="1:14" ht="134.25" customHeight="1" x14ac:dyDescent="0.2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</row>
    <row r="86" spans="1:14" ht="134.25" customHeight="1" x14ac:dyDescent="0.25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</row>
    <row r="87" spans="1:14" ht="134.25" customHeight="1" x14ac:dyDescent="0.25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</row>
    <row r="88" spans="1:14" ht="134.25" customHeight="1" x14ac:dyDescent="0.25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</row>
    <row r="89" spans="1:14" ht="134.25" customHeight="1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</row>
    <row r="90" spans="1:14" ht="134.25" customHeight="1" x14ac:dyDescent="0.25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</row>
    <row r="91" spans="1:14" ht="134.25" customHeight="1" x14ac:dyDescent="0.25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</row>
    <row r="92" spans="1:14" ht="134.25" customHeight="1" x14ac:dyDescent="0.25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</row>
    <row r="93" spans="1:14" ht="134.25" customHeight="1" x14ac:dyDescent="0.25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</row>
    <row r="94" spans="1:14" ht="134.25" customHeight="1" x14ac:dyDescent="0.25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</row>
    <row r="95" spans="1:14" ht="134.25" customHeight="1" x14ac:dyDescent="0.2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</row>
    <row r="96" spans="1:14" ht="134.25" customHeight="1" x14ac:dyDescent="0.25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</row>
    <row r="97" spans="1:14" ht="134.25" customHeight="1" x14ac:dyDescent="0.25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</row>
    <row r="98" spans="1:14" ht="134.25" customHeight="1" x14ac:dyDescent="0.25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</row>
    <row r="99" spans="1:14" ht="134.25" customHeight="1" x14ac:dyDescent="0.25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</row>
    <row r="100" spans="1:14" ht="134.25" customHeight="1" x14ac:dyDescent="0.25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</row>
    <row r="101" spans="1:14" ht="134.25" customHeight="1" x14ac:dyDescent="0.25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</row>
    <row r="102" spans="1:14" ht="134.25" customHeight="1" x14ac:dyDescent="0.25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</row>
    <row r="103" spans="1:14" ht="134.25" customHeight="1" x14ac:dyDescent="0.25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</row>
    <row r="104" spans="1:14" ht="134.25" customHeight="1" x14ac:dyDescent="0.25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</row>
    <row r="105" spans="1:14" ht="134.25" customHeight="1" x14ac:dyDescent="0.2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</row>
    <row r="106" spans="1:14" ht="134.25" customHeight="1" x14ac:dyDescent="0.25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</row>
    <row r="107" spans="1:14" ht="134.25" customHeight="1" x14ac:dyDescent="0.25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</row>
    <row r="108" spans="1:14" ht="134.25" customHeight="1" x14ac:dyDescent="0.25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</row>
    <row r="109" spans="1:14" ht="134.25" customHeight="1" x14ac:dyDescent="0.25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</row>
    <row r="110" spans="1:14" ht="134.25" customHeight="1" x14ac:dyDescent="0.25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</row>
    <row r="111" spans="1:14" ht="134.25" customHeight="1" x14ac:dyDescent="0.25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</row>
    <row r="112" spans="1:14" ht="134.25" customHeight="1" x14ac:dyDescent="0.25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</row>
    <row r="113" spans="1:14" ht="134.25" customHeight="1" x14ac:dyDescent="0.2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</row>
    <row r="114" spans="1:14" ht="134.25" customHeight="1" x14ac:dyDescent="0.2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</row>
    <row r="115" spans="1:14" ht="134.25" customHeight="1" x14ac:dyDescent="0.2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</row>
    <row r="116" spans="1:14" ht="134.25" customHeight="1" x14ac:dyDescent="0.2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</row>
    <row r="117" spans="1:14" ht="134.25" customHeight="1" x14ac:dyDescent="0.2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</row>
    <row r="118" spans="1:14" ht="134.25" customHeight="1" x14ac:dyDescent="0.2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</row>
    <row r="119" spans="1:14" ht="134.25" customHeight="1" x14ac:dyDescent="0.2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</row>
    <row r="120" spans="1:14" ht="134.25" customHeight="1" x14ac:dyDescent="0.2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</row>
    <row r="121" spans="1:14" ht="134.25" customHeight="1" x14ac:dyDescent="0.2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</row>
    <row r="122" spans="1:14" ht="134.25" customHeight="1" x14ac:dyDescent="0.2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</row>
    <row r="123" spans="1:14" ht="134.25" customHeight="1" x14ac:dyDescent="0.2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</row>
    <row r="124" spans="1:14" ht="134.25" customHeight="1" x14ac:dyDescent="0.2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</row>
    <row r="125" spans="1:14" ht="134.25" customHeight="1" x14ac:dyDescent="0.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</row>
    <row r="126" spans="1:14" ht="134.25" customHeight="1" x14ac:dyDescent="0.2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</row>
    <row r="127" spans="1:14" ht="134.25" customHeight="1" x14ac:dyDescent="0.2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</row>
    <row r="128" spans="1:14" ht="134.25" customHeight="1" x14ac:dyDescent="0.2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</row>
    <row r="129" spans="1:14" ht="134.25" customHeight="1" x14ac:dyDescent="0.2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</row>
    <row r="130" spans="1:14" ht="134.25" customHeight="1" x14ac:dyDescent="0.2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</row>
    <row r="131" spans="1:14" ht="134.25" customHeight="1" x14ac:dyDescent="0.2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</row>
    <row r="132" spans="1:14" ht="134.25" customHeight="1" x14ac:dyDescent="0.2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</row>
    <row r="133" spans="1:14" ht="134.25" customHeight="1" x14ac:dyDescent="0.2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</row>
    <row r="134" spans="1:14" ht="134.25" customHeight="1" x14ac:dyDescent="0.2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</row>
    <row r="135" spans="1:14" ht="134.25" customHeight="1" x14ac:dyDescent="0.2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</row>
    <row r="136" spans="1:14" ht="134.25" customHeight="1" x14ac:dyDescent="0.2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</row>
    <row r="137" spans="1:14" ht="134.25" customHeight="1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</row>
    <row r="138" spans="1:14" ht="134.25" customHeight="1" x14ac:dyDescent="0.2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</row>
    <row r="139" spans="1:14" ht="134.25" customHeight="1" x14ac:dyDescent="0.25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</row>
    <row r="140" spans="1:14" ht="134.25" customHeight="1" x14ac:dyDescent="0.25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</row>
    <row r="141" spans="1:14" ht="134.25" customHeight="1" x14ac:dyDescent="0.25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</row>
    <row r="142" spans="1:14" ht="134.25" customHeight="1" x14ac:dyDescent="0.25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</row>
    <row r="143" spans="1:14" ht="134.25" customHeight="1" x14ac:dyDescent="0.25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</row>
    <row r="144" spans="1:14" ht="134.25" customHeight="1" x14ac:dyDescent="0.25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</row>
    <row r="145" spans="1:14" ht="134.25" customHeight="1" x14ac:dyDescent="0.2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</row>
    <row r="146" spans="1:14" ht="134.25" customHeight="1" x14ac:dyDescent="0.25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</row>
    <row r="147" spans="1:14" ht="134.25" customHeight="1" x14ac:dyDescent="0.25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</row>
    <row r="148" spans="1:14" ht="134.25" customHeight="1" x14ac:dyDescent="0.25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</row>
    <row r="149" spans="1:14" ht="134.25" customHeight="1" x14ac:dyDescent="0.25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</row>
    <row r="150" spans="1:14" ht="134.25" customHeight="1" x14ac:dyDescent="0.25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</row>
    <row r="151" spans="1:14" ht="134.25" customHeight="1" x14ac:dyDescent="0.25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</row>
    <row r="152" spans="1:14" ht="134.25" customHeight="1" x14ac:dyDescent="0.25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</row>
    <row r="153" spans="1:14" ht="134.25" customHeight="1" x14ac:dyDescent="0.25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</row>
    <row r="154" spans="1:14" ht="134.25" customHeight="1" x14ac:dyDescent="0.25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</row>
    <row r="155" spans="1:14" ht="134.25" customHeight="1" x14ac:dyDescent="0.2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</row>
    <row r="156" spans="1:14" ht="134.25" customHeight="1" x14ac:dyDescent="0.25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</row>
    <row r="157" spans="1:14" ht="134.25" customHeight="1" x14ac:dyDescent="0.25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</row>
    <row r="158" spans="1:14" ht="134.25" customHeight="1" x14ac:dyDescent="0.25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</row>
    <row r="159" spans="1:14" ht="134.25" customHeight="1" x14ac:dyDescent="0.25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</row>
    <row r="160" spans="1:14" ht="134.25" customHeight="1" x14ac:dyDescent="0.25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</row>
    <row r="161" spans="1:14" ht="134.25" customHeight="1" x14ac:dyDescent="0.25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</row>
    <row r="162" spans="1:14" ht="134.25" customHeight="1" x14ac:dyDescent="0.2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</row>
    <row r="163" spans="1:14" ht="134.25" customHeight="1" x14ac:dyDescent="0.25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</row>
    <row r="164" spans="1:14" ht="134.25" customHeight="1" x14ac:dyDescent="0.25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</row>
    <row r="165" spans="1:14" ht="134.25" customHeight="1" x14ac:dyDescent="0.2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</row>
    <row r="166" spans="1:14" ht="134.25" customHeight="1" x14ac:dyDescent="0.25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</row>
    <row r="167" spans="1:14" ht="134.25" customHeight="1" x14ac:dyDescent="0.25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</row>
    <row r="168" spans="1:14" ht="134.25" customHeight="1" x14ac:dyDescent="0.25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</row>
    <row r="169" spans="1:14" ht="134.25" customHeight="1" x14ac:dyDescent="0.25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</row>
    <row r="170" spans="1:14" ht="134.25" customHeight="1" x14ac:dyDescent="0.25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</row>
    <row r="171" spans="1:14" ht="134.25" customHeight="1" x14ac:dyDescent="0.25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</row>
    <row r="172" spans="1:14" ht="134.25" customHeight="1" x14ac:dyDescent="0.25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</row>
    <row r="173" spans="1:14" ht="134.25" customHeight="1" x14ac:dyDescent="0.25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</row>
    <row r="174" spans="1:14" ht="134.25" customHeight="1" x14ac:dyDescent="0.25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</row>
    <row r="175" spans="1:14" ht="134.25" customHeight="1" x14ac:dyDescent="0.2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</row>
    <row r="176" spans="1:14" ht="134.25" customHeight="1" x14ac:dyDescent="0.25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</row>
    <row r="177" spans="1:14" ht="134.25" customHeight="1" x14ac:dyDescent="0.25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</row>
    <row r="178" spans="1:14" ht="134.25" customHeight="1" x14ac:dyDescent="0.25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</row>
    <row r="179" spans="1:14" ht="134.25" customHeight="1" x14ac:dyDescent="0.25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</row>
    <row r="180" spans="1:14" ht="134.25" customHeight="1" x14ac:dyDescent="0.25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</row>
    <row r="181" spans="1:14" ht="134.25" customHeight="1" x14ac:dyDescent="0.25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</row>
    <row r="182" spans="1:14" ht="134.25" customHeight="1" x14ac:dyDescent="0.25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</row>
    <row r="183" spans="1:14" ht="134.25" customHeight="1" x14ac:dyDescent="0.25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</row>
    <row r="184" spans="1:14" ht="134.25" customHeight="1" x14ac:dyDescent="0.25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</row>
    <row r="185" spans="1:14" ht="134.25" customHeight="1" x14ac:dyDescent="0.2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</row>
    <row r="186" spans="1:14" ht="134.25" customHeight="1" x14ac:dyDescent="0.25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</row>
    <row r="187" spans="1:14" ht="134.25" customHeight="1" x14ac:dyDescent="0.25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</row>
    <row r="188" spans="1:14" ht="134.25" customHeight="1" x14ac:dyDescent="0.25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</row>
    <row r="189" spans="1:14" ht="134.25" customHeight="1" x14ac:dyDescent="0.25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</row>
    <row r="190" spans="1:14" ht="134.25" customHeight="1" x14ac:dyDescent="0.25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</row>
    <row r="191" spans="1:14" ht="134.25" customHeight="1" x14ac:dyDescent="0.25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</row>
    <row r="192" spans="1:14" ht="134.25" customHeight="1" x14ac:dyDescent="0.25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</row>
    <row r="193" spans="1:14" ht="134.25" customHeight="1" x14ac:dyDescent="0.25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</row>
    <row r="194" spans="1:14" ht="134.25" customHeight="1" x14ac:dyDescent="0.25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</row>
    <row r="195" spans="1:14" ht="134.25" customHeight="1" x14ac:dyDescent="0.2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</row>
    <row r="196" spans="1:14" ht="134.25" customHeight="1" x14ac:dyDescent="0.25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</row>
    <row r="197" spans="1:14" ht="134.25" customHeight="1" x14ac:dyDescent="0.25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</row>
    <row r="198" spans="1:14" ht="134.25" customHeight="1" x14ac:dyDescent="0.25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</row>
    <row r="199" spans="1:14" ht="134.25" customHeight="1" x14ac:dyDescent="0.25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</row>
    <row r="200" spans="1:14" ht="134.25" customHeight="1" x14ac:dyDescent="0.25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</row>
    <row r="201" spans="1:14" ht="134.25" customHeight="1" x14ac:dyDescent="0.25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</row>
    <row r="202" spans="1:14" ht="134.25" customHeight="1" x14ac:dyDescent="0.25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</row>
    <row r="203" spans="1:14" ht="134.25" customHeight="1" x14ac:dyDescent="0.25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</row>
    <row r="204" spans="1:14" ht="134.25" customHeight="1" x14ac:dyDescent="0.25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</row>
    <row r="205" spans="1:14" ht="134.25" customHeight="1" x14ac:dyDescent="0.2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</row>
    <row r="206" spans="1:14" ht="134.25" customHeight="1" x14ac:dyDescent="0.25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</row>
    <row r="207" spans="1:14" ht="134.25" customHeight="1" x14ac:dyDescent="0.25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</row>
    <row r="208" spans="1:14" ht="134.25" customHeight="1" x14ac:dyDescent="0.25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</row>
    <row r="209" spans="1:14" ht="134.25" customHeight="1" x14ac:dyDescent="0.25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</row>
    <row r="210" spans="1:14" ht="134.25" customHeight="1" x14ac:dyDescent="0.25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</row>
    <row r="211" spans="1:14" ht="134.25" customHeight="1" x14ac:dyDescent="0.25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</row>
    <row r="212" spans="1:14" ht="134.25" customHeight="1" x14ac:dyDescent="0.25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</row>
    <row r="213" spans="1:14" ht="134.25" customHeight="1" x14ac:dyDescent="0.25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</row>
    <row r="214" spans="1:14" ht="134.25" customHeight="1" x14ac:dyDescent="0.25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</row>
    <row r="215" spans="1:14" ht="134.25" customHeight="1" x14ac:dyDescent="0.2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</row>
    <row r="216" spans="1:14" ht="134.25" customHeight="1" x14ac:dyDescent="0.25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</row>
    <row r="217" spans="1:14" ht="134.25" customHeight="1" x14ac:dyDescent="0.25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</row>
    <row r="218" spans="1:14" ht="134.25" customHeight="1" x14ac:dyDescent="0.25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</row>
    <row r="219" spans="1:14" ht="134.25" customHeight="1" x14ac:dyDescent="0.25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</row>
    <row r="220" spans="1:14" ht="134.25" customHeight="1" x14ac:dyDescent="0.25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</row>
    <row r="221" spans="1:14" ht="134.25" customHeight="1" x14ac:dyDescent="0.25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</row>
    <row r="222" spans="1:14" ht="134.25" customHeight="1" x14ac:dyDescent="0.25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</row>
    <row r="223" spans="1:14" ht="134.25" customHeight="1" x14ac:dyDescent="0.25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</row>
    <row r="224" spans="1:14" ht="134.25" customHeight="1" x14ac:dyDescent="0.25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</row>
    <row r="225" spans="1:14" ht="134.25" customHeight="1" x14ac:dyDescent="0.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</row>
    <row r="226" spans="1:14" ht="134.25" customHeight="1" x14ac:dyDescent="0.25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</row>
    <row r="227" spans="1:14" ht="134.25" customHeight="1" x14ac:dyDescent="0.25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</row>
    <row r="228" spans="1:14" ht="134.25" customHeight="1" x14ac:dyDescent="0.25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</row>
    <row r="229" spans="1:14" ht="134.25" customHeight="1" x14ac:dyDescent="0.25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</row>
    <row r="230" spans="1:14" ht="134.25" customHeight="1" x14ac:dyDescent="0.25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</row>
    <row r="231" spans="1:14" ht="134.25" customHeight="1" x14ac:dyDescent="0.25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</row>
    <row r="232" spans="1:14" ht="134.25" customHeight="1" x14ac:dyDescent="0.25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</row>
    <row r="233" spans="1:14" ht="134.25" customHeight="1" x14ac:dyDescent="0.25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</row>
    <row r="234" spans="1:14" ht="134.25" customHeight="1" x14ac:dyDescent="0.25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</row>
    <row r="235" spans="1:14" ht="134.25" customHeight="1" x14ac:dyDescent="0.2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</row>
    <row r="236" spans="1:14" ht="134.25" customHeight="1" x14ac:dyDescent="0.25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</row>
    <row r="237" spans="1:14" ht="134.25" customHeight="1" x14ac:dyDescent="0.25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</row>
    <row r="238" spans="1:14" ht="134.25" customHeight="1" x14ac:dyDescent="0.25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</row>
    <row r="239" spans="1:14" ht="134.25" customHeight="1" x14ac:dyDescent="0.25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</row>
    <row r="240" spans="1:14" ht="134.25" customHeight="1" x14ac:dyDescent="0.25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</row>
    <row r="241" spans="1:14" ht="134.25" customHeight="1" x14ac:dyDescent="0.25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</row>
    <row r="242" spans="1:14" ht="134.25" customHeight="1" x14ac:dyDescent="0.25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</row>
    <row r="243" spans="1:14" ht="134.25" customHeight="1" x14ac:dyDescent="0.25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</row>
    <row r="244" spans="1:14" ht="134.25" customHeight="1" x14ac:dyDescent="0.25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</row>
    <row r="245" spans="1:14" ht="134.25" customHeight="1" x14ac:dyDescent="0.2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</row>
    <row r="246" spans="1:14" ht="134.25" customHeight="1" x14ac:dyDescent="0.25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</row>
    <row r="247" spans="1:14" ht="134.25" customHeight="1" x14ac:dyDescent="0.25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</row>
    <row r="248" spans="1:14" ht="134.25" customHeight="1" x14ac:dyDescent="0.25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</row>
    <row r="249" spans="1:14" ht="134.25" customHeight="1" x14ac:dyDescent="0.25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</row>
    <row r="250" spans="1:14" ht="134.25" customHeight="1" x14ac:dyDescent="0.25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</row>
    <row r="251" spans="1:14" ht="134.25" customHeight="1" x14ac:dyDescent="0.25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</row>
    <row r="252" spans="1:14" ht="134.25" customHeight="1" x14ac:dyDescent="0.25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</row>
    <row r="253" spans="1:14" ht="134.25" customHeight="1" x14ac:dyDescent="0.25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</row>
    <row r="254" spans="1:14" ht="134.25" customHeight="1" x14ac:dyDescent="0.25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</row>
    <row r="255" spans="1:14" ht="134.25" customHeight="1" x14ac:dyDescent="0.2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</row>
    <row r="256" spans="1:14" ht="134.25" customHeight="1" x14ac:dyDescent="0.25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</row>
    <row r="257" spans="1:14" ht="134.25" customHeight="1" x14ac:dyDescent="0.25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</row>
    <row r="258" spans="1:14" ht="134.25" customHeight="1" x14ac:dyDescent="0.25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</row>
    <row r="259" spans="1:14" ht="134.25" customHeight="1" x14ac:dyDescent="0.25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</row>
    <row r="260" spans="1:14" ht="134.25" customHeight="1" x14ac:dyDescent="0.25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</row>
    <row r="261" spans="1:14" ht="134.25" customHeight="1" x14ac:dyDescent="0.25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</row>
    <row r="262" spans="1:14" ht="134.25" customHeight="1" x14ac:dyDescent="0.25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</row>
    <row r="263" spans="1:14" ht="134.25" customHeight="1" x14ac:dyDescent="0.25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</row>
    <row r="264" spans="1:14" ht="134.25" customHeight="1" x14ac:dyDescent="0.25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</row>
    <row r="265" spans="1:14" ht="134.25" customHeight="1" x14ac:dyDescent="0.2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</row>
    <row r="266" spans="1:14" ht="134.25" customHeight="1" x14ac:dyDescent="0.25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</row>
    <row r="267" spans="1:14" ht="134.25" customHeight="1" x14ac:dyDescent="0.25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</row>
    <row r="268" spans="1:14" ht="134.25" customHeight="1" x14ac:dyDescent="0.25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</row>
    <row r="269" spans="1:14" ht="134.25" customHeight="1" x14ac:dyDescent="0.25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</row>
    <row r="270" spans="1:14" ht="134.25" customHeight="1" x14ac:dyDescent="0.25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</row>
    <row r="271" spans="1:14" ht="134.25" customHeight="1" x14ac:dyDescent="0.25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</row>
    <row r="272" spans="1:14" ht="134.25" customHeight="1" x14ac:dyDescent="0.25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</row>
    <row r="273" spans="1:14" ht="134.25" customHeight="1" x14ac:dyDescent="0.25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</row>
    <row r="274" spans="1:14" ht="134.25" customHeight="1" x14ac:dyDescent="0.25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</row>
    <row r="275" spans="1:14" ht="134.25" customHeight="1" x14ac:dyDescent="0.2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</row>
    <row r="276" spans="1:14" ht="134.25" customHeight="1" x14ac:dyDescent="0.25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</row>
    <row r="277" spans="1:14" ht="134.25" customHeight="1" x14ac:dyDescent="0.25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</row>
    <row r="278" spans="1:14" ht="134.25" customHeight="1" x14ac:dyDescent="0.25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</row>
    <row r="279" spans="1:14" ht="134.25" customHeight="1" x14ac:dyDescent="0.25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</row>
    <row r="280" spans="1:14" ht="134.25" customHeight="1" x14ac:dyDescent="0.25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</row>
    <row r="281" spans="1:14" ht="134.25" customHeight="1" x14ac:dyDescent="0.25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</row>
    <row r="282" spans="1:14" ht="134.25" customHeight="1" x14ac:dyDescent="0.25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</row>
    <row r="283" spans="1:14" ht="134.25" customHeight="1" x14ac:dyDescent="0.25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</row>
    <row r="284" spans="1:14" ht="134.25" customHeight="1" x14ac:dyDescent="0.25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</row>
    <row r="285" spans="1:14" ht="134.25" customHeight="1" x14ac:dyDescent="0.2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</row>
    <row r="286" spans="1:14" ht="134.25" customHeight="1" x14ac:dyDescent="0.25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</row>
    <row r="287" spans="1:14" ht="134.25" customHeight="1" x14ac:dyDescent="0.25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</row>
    <row r="288" spans="1:14" ht="134.25" customHeight="1" x14ac:dyDescent="0.25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</row>
    <row r="289" spans="1:14" ht="134.25" customHeight="1" x14ac:dyDescent="0.25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</row>
    <row r="290" spans="1:14" ht="134.25" customHeight="1" x14ac:dyDescent="0.25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</row>
    <row r="291" spans="1:14" ht="134.25" customHeight="1" x14ac:dyDescent="0.25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</row>
    <row r="292" spans="1:14" ht="134.25" customHeight="1" x14ac:dyDescent="0.25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</row>
    <row r="293" spans="1:14" ht="134.25" customHeight="1" x14ac:dyDescent="0.25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</row>
    <row r="294" spans="1:14" ht="134.25" customHeight="1" x14ac:dyDescent="0.25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</row>
    <row r="295" spans="1:14" ht="134.25" customHeight="1" x14ac:dyDescent="0.2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</row>
    <row r="296" spans="1:14" ht="134.25" customHeight="1" x14ac:dyDescent="0.25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</row>
    <row r="297" spans="1:14" ht="134.25" customHeight="1" x14ac:dyDescent="0.25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</row>
    <row r="298" spans="1:14" ht="134.25" customHeight="1" x14ac:dyDescent="0.25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</row>
    <row r="299" spans="1:14" ht="134.25" customHeight="1" x14ac:dyDescent="0.25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</row>
    <row r="300" spans="1:14" ht="134.25" customHeight="1" x14ac:dyDescent="0.25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</row>
    <row r="301" spans="1:14" ht="134.25" customHeight="1" x14ac:dyDescent="0.25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</row>
    <row r="302" spans="1:14" ht="134.25" customHeight="1" x14ac:dyDescent="0.25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</row>
    <row r="303" spans="1:14" ht="134.25" customHeight="1" x14ac:dyDescent="0.25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</row>
    <row r="304" spans="1:14" ht="134.25" customHeight="1" x14ac:dyDescent="0.25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</row>
    <row r="305" spans="1:14" ht="134.25" customHeight="1" x14ac:dyDescent="0.2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</row>
    <row r="306" spans="1:14" ht="134.25" customHeight="1" x14ac:dyDescent="0.25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</row>
    <row r="307" spans="1:14" ht="134.25" customHeight="1" x14ac:dyDescent="0.25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</row>
    <row r="308" spans="1:14" ht="134.25" customHeight="1" x14ac:dyDescent="0.25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</row>
    <row r="309" spans="1:14" ht="134.25" customHeight="1" x14ac:dyDescent="0.25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</row>
    <row r="310" spans="1:14" ht="134.25" customHeight="1" x14ac:dyDescent="0.25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</row>
    <row r="311" spans="1:14" ht="134.25" customHeight="1" x14ac:dyDescent="0.25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</row>
    <row r="312" spans="1:14" ht="134.25" customHeight="1" x14ac:dyDescent="0.25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</row>
    <row r="313" spans="1:14" ht="134.25" customHeight="1" x14ac:dyDescent="0.25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</row>
    <row r="314" spans="1:14" ht="134.25" customHeight="1" x14ac:dyDescent="0.25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</row>
    <row r="315" spans="1:14" ht="134.25" customHeight="1" x14ac:dyDescent="0.2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</row>
    <row r="316" spans="1:14" ht="134.25" customHeight="1" x14ac:dyDescent="0.25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</row>
    <row r="317" spans="1:14" ht="134.25" customHeight="1" x14ac:dyDescent="0.25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</row>
    <row r="318" spans="1:14" ht="134.25" customHeight="1" x14ac:dyDescent="0.25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</row>
    <row r="319" spans="1:14" ht="134.25" customHeight="1" x14ac:dyDescent="0.25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</row>
    <row r="320" spans="1:14" ht="134.25" customHeight="1" x14ac:dyDescent="0.25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</row>
    <row r="321" spans="1:14" ht="134.25" customHeight="1" x14ac:dyDescent="0.25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</row>
    <row r="322" spans="1:14" ht="134.25" customHeight="1" x14ac:dyDescent="0.25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</row>
    <row r="323" spans="1:14" ht="134.25" customHeight="1" x14ac:dyDescent="0.25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</row>
    <row r="324" spans="1:14" ht="134.25" customHeight="1" x14ac:dyDescent="0.25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</row>
    <row r="325" spans="1:14" ht="134.25" customHeight="1" x14ac:dyDescent="0.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</row>
    <row r="326" spans="1:14" ht="134.25" customHeight="1" x14ac:dyDescent="0.25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</row>
    <row r="327" spans="1:14" ht="134.25" customHeight="1" x14ac:dyDescent="0.25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</row>
    <row r="328" spans="1:14" ht="134.25" customHeight="1" x14ac:dyDescent="0.25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</row>
    <row r="329" spans="1:14" ht="134.25" customHeight="1" x14ac:dyDescent="0.25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</row>
    <row r="330" spans="1:14" ht="134.25" customHeight="1" x14ac:dyDescent="0.25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</row>
    <row r="331" spans="1:14" ht="134.25" customHeight="1" x14ac:dyDescent="0.25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</row>
    <row r="332" spans="1:14" ht="134.25" customHeight="1" x14ac:dyDescent="0.25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</row>
    <row r="333" spans="1:14" ht="134.25" customHeight="1" x14ac:dyDescent="0.25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</row>
    <row r="334" spans="1:14" ht="134.25" customHeight="1" x14ac:dyDescent="0.25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</row>
    <row r="335" spans="1:14" ht="134.25" customHeight="1" x14ac:dyDescent="0.2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</row>
    <row r="336" spans="1:14" ht="134.25" customHeight="1" x14ac:dyDescent="0.25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</row>
    <row r="337" spans="1:14" ht="134.25" customHeight="1" x14ac:dyDescent="0.25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</row>
    <row r="338" spans="1:14" ht="134.25" customHeight="1" x14ac:dyDescent="0.25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</row>
    <row r="339" spans="1:14" ht="134.25" customHeight="1" x14ac:dyDescent="0.25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</row>
    <row r="340" spans="1:14" ht="134.25" customHeight="1" x14ac:dyDescent="0.25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</row>
    <row r="341" spans="1:14" ht="134.25" customHeight="1" x14ac:dyDescent="0.25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</row>
    <row r="342" spans="1:14" ht="134.25" customHeight="1" x14ac:dyDescent="0.25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</row>
    <row r="343" spans="1:14" ht="134.25" customHeight="1" x14ac:dyDescent="0.25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</row>
    <row r="344" spans="1:14" ht="134.25" customHeight="1" x14ac:dyDescent="0.25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</row>
    <row r="345" spans="1:14" ht="134.25" customHeight="1" x14ac:dyDescent="0.2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</row>
    <row r="346" spans="1:14" ht="134.25" customHeight="1" x14ac:dyDescent="0.25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</row>
    <row r="347" spans="1:14" ht="134.25" customHeight="1" x14ac:dyDescent="0.25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</row>
    <row r="348" spans="1:14" ht="134.25" customHeight="1" x14ac:dyDescent="0.25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</row>
    <row r="349" spans="1:14" ht="134.25" customHeight="1" x14ac:dyDescent="0.25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</row>
    <row r="350" spans="1:14" ht="134.25" customHeight="1" x14ac:dyDescent="0.25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</row>
    <row r="351" spans="1:14" ht="134.25" customHeight="1" x14ac:dyDescent="0.25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</row>
    <row r="352" spans="1:14" ht="134.25" customHeight="1" x14ac:dyDescent="0.25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</row>
    <row r="353" spans="1:14" ht="134.25" customHeight="1" x14ac:dyDescent="0.25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</row>
    <row r="354" spans="1:14" ht="134.25" customHeight="1" x14ac:dyDescent="0.25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</row>
    <row r="355" spans="1:14" ht="134.25" customHeight="1" x14ac:dyDescent="0.2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</row>
    <row r="356" spans="1:14" ht="134.25" customHeight="1" x14ac:dyDescent="0.25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</row>
    <row r="357" spans="1:14" ht="134.25" customHeight="1" x14ac:dyDescent="0.25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</row>
    <row r="358" spans="1:14" ht="134.25" customHeight="1" x14ac:dyDescent="0.25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</row>
    <row r="359" spans="1:14" ht="134.25" customHeight="1" x14ac:dyDescent="0.25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</row>
    <row r="360" spans="1:14" ht="134.25" customHeight="1" x14ac:dyDescent="0.25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</row>
    <row r="361" spans="1:14" ht="134.25" customHeight="1" x14ac:dyDescent="0.25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</row>
    <row r="362" spans="1:14" ht="134.25" customHeight="1" x14ac:dyDescent="0.25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</row>
    <row r="363" spans="1:14" ht="134.25" customHeight="1" x14ac:dyDescent="0.25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</row>
    <row r="364" spans="1:14" ht="134.25" customHeight="1" x14ac:dyDescent="0.25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</row>
    <row r="365" spans="1:14" ht="134.25" customHeight="1" x14ac:dyDescent="0.2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</row>
    <row r="366" spans="1:14" ht="134.25" customHeight="1" x14ac:dyDescent="0.25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</row>
    <row r="367" spans="1:14" ht="134.25" customHeight="1" x14ac:dyDescent="0.25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</row>
    <row r="368" spans="1:14" ht="134.25" customHeight="1" x14ac:dyDescent="0.25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</row>
    <row r="369" spans="1:14" ht="134.25" customHeight="1" x14ac:dyDescent="0.25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</row>
    <row r="370" spans="1:14" ht="134.25" customHeight="1" x14ac:dyDescent="0.25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</row>
    <row r="371" spans="1:14" ht="134.25" customHeight="1" x14ac:dyDescent="0.25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</row>
    <row r="372" spans="1:14" ht="134.25" customHeight="1" x14ac:dyDescent="0.25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</row>
    <row r="373" spans="1:14" ht="134.25" customHeight="1" x14ac:dyDescent="0.25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</row>
    <row r="374" spans="1:14" ht="134.25" customHeight="1" x14ac:dyDescent="0.25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</row>
    <row r="375" spans="1:14" ht="134.25" customHeight="1" x14ac:dyDescent="0.2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</row>
    <row r="376" spans="1:14" ht="134.25" customHeight="1" x14ac:dyDescent="0.25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</row>
    <row r="377" spans="1:14" ht="134.25" customHeight="1" x14ac:dyDescent="0.25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</row>
    <row r="378" spans="1:14" ht="134.25" customHeight="1" x14ac:dyDescent="0.25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</row>
    <row r="379" spans="1:14" ht="134.25" customHeight="1" x14ac:dyDescent="0.25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</row>
    <row r="380" spans="1:14" ht="134.25" customHeight="1" x14ac:dyDescent="0.25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</row>
    <row r="381" spans="1:14" ht="134.25" customHeight="1" x14ac:dyDescent="0.25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</row>
    <row r="382" spans="1:14" ht="134.25" customHeight="1" x14ac:dyDescent="0.25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</row>
    <row r="383" spans="1:14" ht="134.25" customHeight="1" x14ac:dyDescent="0.25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</row>
    <row r="384" spans="1:14" ht="134.25" customHeight="1" x14ac:dyDescent="0.25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</row>
    <row r="385" spans="1:14" ht="134.25" customHeight="1" x14ac:dyDescent="0.2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</row>
    <row r="386" spans="1:14" ht="134.25" customHeight="1" x14ac:dyDescent="0.25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</row>
    <row r="387" spans="1:14" ht="134.25" customHeight="1" x14ac:dyDescent="0.25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</row>
    <row r="388" spans="1:14" ht="134.25" customHeight="1" x14ac:dyDescent="0.25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</row>
    <row r="389" spans="1:14" ht="134.25" customHeight="1" x14ac:dyDescent="0.25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</row>
    <row r="390" spans="1:14" ht="134.25" customHeight="1" x14ac:dyDescent="0.25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</row>
    <row r="391" spans="1:14" ht="134.25" customHeight="1" x14ac:dyDescent="0.25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</row>
    <row r="392" spans="1:14" ht="134.25" customHeight="1" x14ac:dyDescent="0.25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</row>
    <row r="393" spans="1:14" ht="134.25" customHeight="1" x14ac:dyDescent="0.25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</row>
    <row r="394" spans="1:14" ht="134.25" customHeight="1" x14ac:dyDescent="0.25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</row>
    <row r="395" spans="1:14" ht="134.25" customHeight="1" x14ac:dyDescent="0.2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</row>
    <row r="396" spans="1:14" ht="134.25" customHeight="1" x14ac:dyDescent="0.25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</row>
    <row r="397" spans="1:14" ht="134.25" customHeight="1" x14ac:dyDescent="0.25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</row>
    <row r="398" spans="1:14" ht="134.25" customHeight="1" x14ac:dyDescent="0.25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</row>
    <row r="399" spans="1:14" ht="134.25" customHeight="1" x14ac:dyDescent="0.25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</row>
    <row r="400" spans="1:14" ht="134.25" customHeight="1" x14ac:dyDescent="0.25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</row>
    <row r="401" spans="1:14" ht="134.25" customHeight="1" x14ac:dyDescent="0.25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</row>
    <row r="402" spans="1:14" ht="134.25" customHeight="1" x14ac:dyDescent="0.25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</row>
    <row r="403" spans="1:14" ht="134.25" customHeight="1" x14ac:dyDescent="0.25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</row>
    <row r="404" spans="1:14" ht="134.25" customHeight="1" x14ac:dyDescent="0.25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</row>
    <row r="405" spans="1:14" ht="134.25" customHeight="1" x14ac:dyDescent="0.2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</row>
    <row r="406" spans="1:14" ht="134.25" customHeight="1" x14ac:dyDescent="0.25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</row>
    <row r="407" spans="1:14" ht="134.25" customHeight="1" x14ac:dyDescent="0.25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</row>
    <row r="408" spans="1:14" ht="134.25" customHeight="1" x14ac:dyDescent="0.25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</row>
    <row r="409" spans="1:14" ht="134.25" customHeight="1" x14ac:dyDescent="0.25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</row>
    <row r="410" spans="1:14" ht="134.25" customHeight="1" x14ac:dyDescent="0.25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</row>
    <row r="411" spans="1:14" ht="134.25" customHeight="1" x14ac:dyDescent="0.25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</row>
    <row r="412" spans="1:14" ht="134.25" customHeight="1" x14ac:dyDescent="0.25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</row>
    <row r="413" spans="1:14" ht="134.25" customHeight="1" x14ac:dyDescent="0.25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</row>
    <row r="414" spans="1:14" ht="134.25" customHeight="1" x14ac:dyDescent="0.25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</row>
    <row r="415" spans="1:14" ht="134.25" customHeight="1" x14ac:dyDescent="0.2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</row>
    <row r="416" spans="1:14" ht="134.25" customHeight="1" x14ac:dyDescent="0.25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</row>
    <row r="417" spans="1:14" ht="134.25" customHeight="1" x14ac:dyDescent="0.25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</row>
    <row r="418" spans="1:14" ht="134.25" customHeight="1" x14ac:dyDescent="0.25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</row>
    <row r="419" spans="1:14" ht="134.25" customHeight="1" x14ac:dyDescent="0.25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</row>
    <row r="420" spans="1:14" ht="134.25" customHeight="1" x14ac:dyDescent="0.25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</row>
    <row r="421" spans="1:14" ht="134.25" customHeight="1" x14ac:dyDescent="0.25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</row>
    <row r="422" spans="1:14" ht="134.25" customHeight="1" x14ac:dyDescent="0.25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</row>
    <row r="423" spans="1:14" ht="134.25" customHeight="1" x14ac:dyDescent="0.25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</row>
    <row r="424" spans="1:14" ht="134.25" customHeight="1" x14ac:dyDescent="0.25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</row>
    <row r="425" spans="1:14" ht="134.25" customHeight="1" x14ac:dyDescent="0.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</row>
    <row r="426" spans="1:14" ht="134.25" customHeight="1" x14ac:dyDescent="0.25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</row>
    <row r="427" spans="1:14" ht="134.25" customHeight="1" x14ac:dyDescent="0.25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</row>
    <row r="428" spans="1:14" ht="134.25" customHeight="1" x14ac:dyDescent="0.25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</row>
    <row r="429" spans="1:14" ht="134.25" customHeight="1" x14ac:dyDescent="0.25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</row>
    <row r="430" spans="1:14" ht="134.25" customHeight="1" x14ac:dyDescent="0.25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</row>
    <row r="431" spans="1:14" ht="134.25" customHeight="1" x14ac:dyDescent="0.25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</row>
    <row r="432" spans="1:14" ht="134.25" customHeight="1" x14ac:dyDescent="0.25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</row>
    <row r="433" spans="1:14" ht="134.25" customHeight="1" x14ac:dyDescent="0.25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</row>
    <row r="434" spans="1:14" ht="134.25" customHeight="1" x14ac:dyDescent="0.25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</row>
    <row r="435" spans="1:14" ht="134.25" customHeight="1" x14ac:dyDescent="0.2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</row>
    <row r="436" spans="1:14" ht="134.25" customHeight="1" x14ac:dyDescent="0.25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</row>
    <row r="437" spans="1:14" ht="134.25" customHeight="1" x14ac:dyDescent="0.25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</row>
    <row r="438" spans="1:14" ht="134.25" customHeight="1" x14ac:dyDescent="0.25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</row>
    <row r="439" spans="1:14" ht="134.25" customHeight="1" x14ac:dyDescent="0.25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</row>
    <row r="440" spans="1:14" ht="134.25" customHeight="1" x14ac:dyDescent="0.25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</row>
    <row r="441" spans="1:14" ht="134.25" customHeight="1" x14ac:dyDescent="0.25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</row>
    <row r="442" spans="1:14" ht="134.25" customHeight="1" x14ac:dyDescent="0.25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</row>
    <row r="443" spans="1:14" ht="134.25" customHeight="1" x14ac:dyDescent="0.25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</row>
    <row r="444" spans="1:14" ht="134.25" customHeight="1" x14ac:dyDescent="0.25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</row>
    <row r="445" spans="1:14" ht="134.25" customHeight="1" x14ac:dyDescent="0.2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</row>
    <row r="446" spans="1:14" ht="134.25" customHeight="1" x14ac:dyDescent="0.25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</row>
    <row r="447" spans="1:14" ht="134.25" customHeight="1" x14ac:dyDescent="0.25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</row>
    <row r="448" spans="1:14" ht="134.25" customHeight="1" x14ac:dyDescent="0.25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</row>
    <row r="449" spans="1:14" ht="134.25" customHeight="1" x14ac:dyDescent="0.25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</row>
    <row r="450" spans="1:14" ht="134.25" customHeight="1" x14ac:dyDescent="0.25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</row>
    <row r="451" spans="1:14" ht="134.25" customHeight="1" x14ac:dyDescent="0.25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</row>
    <row r="452" spans="1:14" ht="134.25" customHeight="1" x14ac:dyDescent="0.25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</row>
    <row r="453" spans="1:14" ht="134.25" customHeight="1" x14ac:dyDescent="0.25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</row>
    <row r="454" spans="1:14" ht="134.25" customHeight="1" x14ac:dyDescent="0.25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</row>
    <row r="455" spans="1:14" ht="134.25" customHeight="1" x14ac:dyDescent="0.2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</row>
    <row r="456" spans="1:14" ht="134.25" customHeight="1" x14ac:dyDescent="0.25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</row>
    <row r="457" spans="1:14" ht="134.25" customHeight="1" x14ac:dyDescent="0.25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</row>
    <row r="458" spans="1:14" ht="134.25" customHeight="1" x14ac:dyDescent="0.25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</row>
    <row r="459" spans="1:14" ht="134.25" customHeight="1" x14ac:dyDescent="0.25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</row>
    <row r="460" spans="1:14" ht="134.25" customHeight="1" x14ac:dyDescent="0.25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</row>
    <row r="461" spans="1:14" ht="134.25" customHeight="1" x14ac:dyDescent="0.25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</row>
    <row r="462" spans="1:14" ht="134.25" customHeight="1" x14ac:dyDescent="0.25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</row>
    <row r="463" spans="1:14" ht="134.25" customHeight="1" x14ac:dyDescent="0.25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</row>
    <row r="464" spans="1:14" ht="134.25" customHeight="1" x14ac:dyDescent="0.25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</row>
    <row r="465" spans="1:14" ht="134.25" customHeight="1" x14ac:dyDescent="0.2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</row>
    <row r="466" spans="1:14" ht="134.25" customHeight="1" x14ac:dyDescent="0.25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</row>
    <row r="467" spans="1:14" ht="134.25" customHeight="1" x14ac:dyDescent="0.25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</row>
    <row r="468" spans="1:14" ht="134.25" customHeight="1" x14ac:dyDescent="0.25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</row>
    <row r="469" spans="1:14" ht="134.25" customHeight="1" x14ac:dyDescent="0.25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</row>
    <row r="470" spans="1:14" ht="134.25" customHeight="1" x14ac:dyDescent="0.25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</row>
    <row r="471" spans="1:14" ht="134.25" customHeight="1" x14ac:dyDescent="0.25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</row>
    <row r="472" spans="1:14" ht="134.25" customHeight="1" x14ac:dyDescent="0.25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</row>
    <row r="473" spans="1:14" ht="134.25" customHeight="1" x14ac:dyDescent="0.25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</row>
    <row r="474" spans="1:14" ht="134.25" customHeight="1" x14ac:dyDescent="0.25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</row>
    <row r="475" spans="1:14" ht="134.25" customHeight="1" x14ac:dyDescent="0.2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</row>
    <row r="476" spans="1:14" ht="134.25" customHeight="1" x14ac:dyDescent="0.25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</row>
    <row r="477" spans="1:14" ht="134.25" customHeight="1" x14ac:dyDescent="0.25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</row>
    <row r="478" spans="1:14" ht="134.25" customHeight="1" x14ac:dyDescent="0.25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</row>
    <row r="479" spans="1:14" ht="134.25" customHeight="1" x14ac:dyDescent="0.25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</row>
    <row r="480" spans="1:14" ht="134.25" customHeight="1" x14ac:dyDescent="0.25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</row>
    <row r="481" spans="1:14" ht="134.25" customHeight="1" x14ac:dyDescent="0.25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</row>
    <row r="482" spans="1:14" ht="134.25" customHeight="1" x14ac:dyDescent="0.25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</row>
    <row r="483" spans="1:14" ht="134.25" customHeight="1" x14ac:dyDescent="0.25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</row>
    <row r="484" spans="1:14" ht="134.25" customHeight="1" x14ac:dyDescent="0.25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</row>
    <row r="485" spans="1:14" ht="134.25" customHeight="1" x14ac:dyDescent="0.2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</row>
    <row r="486" spans="1:14" ht="134.25" customHeight="1" x14ac:dyDescent="0.25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</row>
    <row r="487" spans="1:14" ht="134.25" customHeight="1" x14ac:dyDescent="0.25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</row>
    <row r="488" spans="1:14" ht="134.25" customHeight="1" x14ac:dyDescent="0.25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</row>
    <row r="489" spans="1:14" ht="134.25" customHeight="1" x14ac:dyDescent="0.25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</row>
    <row r="490" spans="1:14" ht="134.25" customHeight="1" x14ac:dyDescent="0.25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</row>
    <row r="491" spans="1:14" ht="134.25" customHeight="1" x14ac:dyDescent="0.25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</row>
    <row r="492" spans="1:14" ht="134.25" customHeight="1" x14ac:dyDescent="0.25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</row>
    <row r="493" spans="1:14" ht="134.25" customHeight="1" x14ac:dyDescent="0.25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</row>
    <row r="494" spans="1:14" ht="134.25" customHeight="1" x14ac:dyDescent="0.25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</row>
    <row r="495" spans="1:14" ht="134.25" customHeight="1" x14ac:dyDescent="0.2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</row>
    <row r="496" spans="1:14" ht="134.25" customHeight="1" x14ac:dyDescent="0.25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</row>
    <row r="497" spans="1:14" ht="134.25" customHeight="1" x14ac:dyDescent="0.25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</row>
    <row r="498" spans="1:14" ht="134.25" customHeight="1" x14ac:dyDescent="0.25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</row>
    <row r="499" spans="1:14" ht="134.25" customHeight="1" x14ac:dyDescent="0.25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</row>
    <row r="500" spans="1:14" ht="134.25" customHeight="1" x14ac:dyDescent="0.25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</row>
    <row r="501" spans="1:14" ht="134.25" customHeight="1" x14ac:dyDescent="0.25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</row>
    <row r="502" spans="1:14" ht="134.25" customHeight="1" x14ac:dyDescent="0.25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</row>
    <row r="503" spans="1:14" ht="134.25" customHeight="1" x14ac:dyDescent="0.25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</row>
    <row r="504" spans="1:14" ht="134.25" customHeight="1" x14ac:dyDescent="0.25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</row>
    <row r="505" spans="1:14" ht="134.25" customHeight="1" x14ac:dyDescent="0.2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</row>
    <row r="506" spans="1:14" ht="134.25" customHeight="1" x14ac:dyDescent="0.25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</row>
    <row r="507" spans="1:14" ht="134.25" customHeight="1" x14ac:dyDescent="0.25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</row>
    <row r="508" spans="1:14" ht="134.25" customHeight="1" x14ac:dyDescent="0.25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</row>
    <row r="509" spans="1:14" ht="134.25" customHeight="1" x14ac:dyDescent="0.25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</row>
    <row r="510" spans="1:14" ht="134.25" customHeight="1" x14ac:dyDescent="0.25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</row>
    <row r="511" spans="1:14" ht="134.25" customHeight="1" x14ac:dyDescent="0.25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</row>
    <row r="512" spans="1:14" ht="134.25" customHeight="1" x14ac:dyDescent="0.25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</row>
    <row r="513" spans="1:14" ht="134.25" customHeight="1" x14ac:dyDescent="0.25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</row>
    <row r="514" spans="1:14" ht="134.25" customHeight="1" x14ac:dyDescent="0.25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</row>
    <row r="515" spans="1:14" ht="134.25" customHeight="1" x14ac:dyDescent="0.2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</row>
    <row r="516" spans="1:14" ht="134.25" customHeight="1" x14ac:dyDescent="0.25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</row>
    <row r="517" spans="1:14" ht="134.25" customHeight="1" x14ac:dyDescent="0.25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</row>
    <row r="518" spans="1:14" ht="134.25" customHeight="1" x14ac:dyDescent="0.25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</row>
    <row r="519" spans="1:14" ht="134.25" customHeight="1" x14ac:dyDescent="0.25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</row>
    <row r="520" spans="1:14" ht="134.25" customHeight="1" x14ac:dyDescent="0.25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</row>
    <row r="521" spans="1:14" ht="134.25" customHeight="1" x14ac:dyDescent="0.25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</row>
    <row r="522" spans="1:14" ht="134.25" customHeight="1" x14ac:dyDescent="0.25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</row>
    <row r="523" spans="1:14" ht="134.25" customHeight="1" x14ac:dyDescent="0.25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</row>
    <row r="524" spans="1:14" ht="134.25" customHeight="1" x14ac:dyDescent="0.25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</row>
    <row r="525" spans="1:14" ht="134.25" customHeight="1" x14ac:dyDescent="0.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</row>
    <row r="526" spans="1:14" ht="134.25" customHeight="1" x14ac:dyDescent="0.25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</row>
    <row r="527" spans="1:14" ht="134.25" customHeight="1" x14ac:dyDescent="0.25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</row>
    <row r="528" spans="1:14" ht="134.25" customHeight="1" x14ac:dyDescent="0.25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</row>
    <row r="529" spans="1:14" ht="134.25" customHeight="1" x14ac:dyDescent="0.25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</row>
    <row r="530" spans="1:14" ht="134.25" customHeight="1" x14ac:dyDescent="0.25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</row>
    <row r="531" spans="1:14" ht="134.25" customHeight="1" x14ac:dyDescent="0.25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</row>
    <row r="532" spans="1:14" ht="134.25" customHeight="1" x14ac:dyDescent="0.25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</row>
    <row r="533" spans="1:14" ht="134.25" customHeight="1" x14ac:dyDescent="0.25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</row>
    <row r="534" spans="1:14" ht="134.25" customHeight="1" x14ac:dyDescent="0.25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</row>
    <row r="535" spans="1:14" ht="134.25" customHeight="1" x14ac:dyDescent="0.2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</row>
    <row r="536" spans="1:14" ht="134.25" customHeight="1" x14ac:dyDescent="0.25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</row>
    <row r="537" spans="1:14" ht="134.25" customHeight="1" x14ac:dyDescent="0.25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</row>
    <row r="538" spans="1:14" ht="134.25" customHeight="1" x14ac:dyDescent="0.25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</row>
    <row r="539" spans="1:14" ht="134.25" customHeight="1" x14ac:dyDescent="0.25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</row>
    <row r="540" spans="1:14" ht="134.25" customHeight="1" x14ac:dyDescent="0.25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</row>
    <row r="541" spans="1:14" ht="134.25" customHeight="1" x14ac:dyDescent="0.25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</row>
    <row r="542" spans="1:14" ht="134.25" customHeight="1" x14ac:dyDescent="0.25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</row>
    <row r="543" spans="1:14" ht="134.25" customHeight="1" x14ac:dyDescent="0.25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</row>
    <row r="544" spans="1:14" ht="134.25" customHeight="1" x14ac:dyDescent="0.25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</row>
    <row r="545" spans="1:14" ht="134.25" customHeight="1" x14ac:dyDescent="0.2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</row>
    <row r="546" spans="1:14" ht="134.25" customHeight="1" x14ac:dyDescent="0.25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</row>
    <row r="547" spans="1:14" ht="134.25" customHeight="1" x14ac:dyDescent="0.25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</row>
    <row r="548" spans="1:14" ht="134.25" customHeight="1" x14ac:dyDescent="0.25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</row>
    <row r="549" spans="1:14" ht="134.25" customHeight="1" x14ac:dyDescent="0.25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</row>
    <row r="550" spans="1:14" ht="134.25" customHeight="1" x14ac:dyDescent="0.25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</row>
    <row r="551" spans="1:14" ht="134.25" customHeight="1" x14ac:dyDescent="0.25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</row>
    <row r="552" spans="1:14" ht="134.25" customHeight="1" x14ac:dyDescent="0.25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</row>
    <row r="553" spans="1:14" ht="134.25" customHeight="1" x14ac:dyDescent="0.25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</row>
    <row r="554" spans="1:14" ht="134.25" customHeight="1" x14ac:dyDescent="0.25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</row>
    <row r="555" spans="1:14" ht="134.25" customHeight="1" x14ac:dyDescent="0.2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</row>
    <row r="556" spans="1:14" ht="134.25" customHeight="1" x14ac:dyDescent="0.25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</row>
    <row r="557" spans="1:14" ht="134.25" customHeight="1" x14ac:dyDescent="0.25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</row>
    <row r="558" spans="1:14" ht="134.25" customHeight="1" x14ac:dyDescent="0.25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</row>
    <row r="559" spans="1:14" ht="134.25" customHeight="1" x14ac:dyDescent="0.25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</row>
    <row r="560" spans="1:14" ht="134.25" customHeight="1" x14ac:dyDescent="0.25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</row>
    <row r="561" spans="1:14" ht="134.25" customHeight="1" x14ac:dyDescent="0.25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</row>
    <row r="562" spans="1:14" ht="134.25" customHeight="1" x14ac:dyDescent="0.25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</row>
    <row r="563" spans="1:14" ht="134.25" customHeight="1" x14ac:dyDescent="0.25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</row>
    <row r="564" spans="1:14" ht="134.25" customHeight="1" x14ac:dyDescent="0.25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</row>
    <row r="565" spans="1:14" ht="134.25" customHeight="1" x14ac:dyDescent="0.2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</row>
    <row r="566" spans="1:14" ht="134.25" customHeight="1" x14ac:dyDescent="0.25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</row>
    <row r="567" spans="1:14" ht="134.25" customHeight="1" x14ac:dyDescent="0.25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</row>
    <row r="568" spans="1:14" ht="134.25" customHeight="1" x14ac:dyDescent="0.25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</row>
    <row r="569" spans="1:14" ht="134.25" customHeight="1" x14ac:dyDescent="0.25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</row>
    <row r="570" spans="1:14" ht="134.25" customHeight="1" x14ac:dyDescent="0.25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</row>
    <row r="571" spans="1:14" ht="134.25" customHeight="1" x14ac:dyDescent="0.25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</row>
    <row r="572" spans="1:14" ht="134.25" customHeight="1" x14ac:dyDescent="0.25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</row>
    <row r="573" spans="1:14" ht="134.25" customHeight="1" x14ac:dyDescent="0.25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</row>
    <row r="574" spans="1:14" ht="134.25" customHeight="1" x14ac:dyDescent="0.25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</row>
    <row r="575" spans="1:14" ht="134.25" customHeight="1" x14ac:dyDescent="0.2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</row>
    <row r="576" spans="1:14" ht="134.25" customHeight="1" x14ac:dyDescent="0.25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</row>
    <row r="577" spans="1:14" ht="134.25" customHeight="1" x14ac:dyDescent="0.25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</row>
    <row r="578" spans="1:14" ht="134.25" customHeight="1" x14ac:dyDescent="0.25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</row>
    <row r="579" spans="1:14" ht="134.25" customHeight="1" x14ac:dyDescent="0.25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</row>
    <row r="580" spans="1:14" ht="134.25" customHeight="1" x14ac:dyDescent="0.25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</row>
    <row r="581" spans="1:14" ht="134.25" customHeight="1" x14ac:dyDescent="0.25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</row>
    <row r="582" spans="1:14" ht="134.25" customHeight="1" x14ac:dyDescent="0.25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</row>
    <row r="583" spans="1:14" ht="134.25" customHeight="1" x14ac:dyDescent="0.25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</row>
    <row r="584" spans="1:14" ht="134.25" customHeight="1" x14ac:dyDescent="0.25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</row>
    <row r="585" spans="1:14" ht="134.25" customHeight="1" x14ac:dyDescent="0.2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</row>
    <row r="586" spans="1:14" ht="134.25" customHeight="1" x14ac:dyDescent="0.25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</row>
    <row r="587" spans="1:14" ht="134.25" customHeight="1" x14ac:dyDescent="0.25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</row>
    <row r="588" spans="1:14" ht="134.25" customHeight="1" x14ac:dyDescent="0.25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</row>
    <row r="589" spans="1:14" ht="134.25" customHeight="1" x14ac:dyDescent="0.25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</row>
    <row r="590" spans="1:14" ht="134.25" customHeight="1" x14ac:dyDescent="0.25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</row>
    <row r="591" spans="1:14" ht="134.25" customHeight="1" x14ac:dyDescent="0.25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</row>
    <row r="592" spans="1:14" ht="134.25" customHeight="1" x14ac:dyDescent="0.25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</row>
    <row r="593" spans="1:14" ht="134.25" customHeight="1" x14ac:dyDescent="0.25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</row>
    <row r="594" spans="1:14" ht="134.25" customHeight="1" x14ac:dyDescent="0.25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</row>
    <row r="595" spans="1:14" ht="134.25" customHeight="1" x14ac:dyDescent="0.2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</row>
    <row r="596" spans="1:14" ht="134.25" customHeight="1" x14ac:dyDescent="0.25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</row>
    <row r="597" spans="1:14" ht="134.25" customHeight="1" x14ac:dyDescent="0.25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</row>
    <row r="598" spans="1:14" ht="134.25" customHeight="1" x14ac:dyDescent="0.25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</row>
    <row r="599" spans="1:14" ht="134.25" customHeight="1" x14ac:dyDescent="0.25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</row>
    <row r="600" spans="1:14" ht="134.25" customHeight="1" x14ac:dyDescent="0.25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</row>
    <row r="601" spans="1:14" ht="134.25" customHeight="1" x14ac:dyDescent="0.25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</row>
    <row r="602" spans="1:14" ht="134.25" customHeight="1" x14ac:dyDescent="0.25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</row>
    <row r="603" spans="1:14" ht="134.25" customHeight="1" x14ac:dyDescent="0.25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</row>
    <row r="604" spans="1:14" ht="134.25" customHeight="1" x14ac:dyDescent="0.25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</row>
    <row r="605" spans="1:14" ht="134.25" customHeight="1" x14ac:dyDescent="0.2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</row>
    <row r="606" spans="1:14" ht="134.25" customHeight="1" x14ac:dyDescent="0.25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</row>
    <row r="607" spans="1:14" ht="134.25" customHeight="1" x14ac:dyDescent="0.25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</row>
    <row r="608" spans="1:14" ht="134.25" customHeight="1" x14ac:dyDescent="0.25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</row>
    <row r="609" spans="1:14" ht="134.25" customHeight="1" x14ac:dyDescent="0.25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</row>
    <row r="610" spans="1:14" ht="134.25" customHeight="1" x14ac:dyDescent="0.25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</row>
    <row r="611" spans="1:14" ht="134.25" customHeight="1" x14ac:dyDescent="0.25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</row>
    <row r="612" spans="1:14" ht="134.25" customHeight="1" x14ac:dyDescent="0.25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</row>
    <row r="613" spans="1:14" ht="134.25" customHeight="1" x14ac:dyDescent="0.25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</row>
    <row r="614" spans="1:14" ht="134.25" customHeight="1" x14ac:dyDescent="0.25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</row>
    <row r="615" spans="1:14" ht="134.25" customHeight="1" x14ac:dyDescent="0.2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</row>
    <row r="616" spans="1:14" ht="134.25" customHeight="1" x14ac:dyDescent="0.25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</row>
    <row r="617" spans="1:14" ht="134.25" customHeight="1" x14ac:dyDescent="0.25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</row>
    <row r="618" spans="1:14" ht="134.25" customHeight="1" x14ac:dyDescent="0.25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</row>
    <row r="619" spans="1:14" ht="134.25" customHeight="1" x14ac:dyDescent="0.25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</row>
    <row r="620" spans="1:14" ht="134.25" customHeight="1" x14ac:dyDescent="0.25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</row>
    <row r="621" spans="1:14" ht="134.25" customHeight="1" x14ac:dyDescent="0.25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</row>
    <row r="622" spans="1:14" ht="134.25" customHeight="1" x14ac:dyDescent="0.25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</row>
    <row r="623" spans="1:14" ht="134.25" customHeight="1" x14ac:dyDescent="0.25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</row>
    <row r="624" spans="1:14" ht="134.25" customHeight="1" x14ac:dyDescent="0.25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</row>
    <row r="625" spans="1:14" ht="134.25" customHeight="1" x14ac:dyDescent="0.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</row>
    <row r="626" spans="1:14" ht="134.25" customHeight="1" x14ac:dyDescent="0.25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</row>
    <row r="627" spans="1:14" ht="134.25" customHeight="1" x14ac:dyDescent="0.25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</row>
    <row r="628" spans="1:14" ht="134.25" customHeight="1" x14ac:dyDescent="0.25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</row>
    <row r="629" spans="1:14" ht="134.25" customHeight="1" x14ac:dyDescent="0.25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</row>
    <row r="630" spans="1:14" ht="134.25" customHeight="1" x14ac:dyDescent="0.25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</row>
    <row r="631" spans="1:14" ht="134.25" customHeight="1" x14ac:dyDescent="0.25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</row>
    <row r="632" spans="1:14" ht="134.25" customHeight="1" x14ac:dyDescent="0.25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</row>
    <row r="633" spans="1:14" ht="134.25" customHeight="1" x14ac:dyDescent="0.25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</row>
    <row r="634" spans="1:14" ht="134.25" customHeight="1" x14ac:dyDescent="0.25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</row>
    <row r="635" spans="1:14" ht="134.25" customHeight="1" x14ac:dyDescent="0.2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</row>
    <row r="636" spans="1:14" ht="134.25" customHeight="1" x14ac:dyDescent="0.25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</row>
    <row r="637" spans="1:14" ht="134.25" customHeight="1" x14ac:dyDescent="0.25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</row>
    <row r="638" spans="1:14" ht="134.25" customHeight="1" x14ac:dyDescent="0.25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</row>
    <row r="639" spans="1:14" ht="134.25" customHeight="1" x14ac:dyDescent="0.25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</row>
    <row r="640" spans="1:14" ht="134.25" customHeight="1" x14ac:dyDescent="0.25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</row>
    <row r="641" spans="1:14" ht="134.25" customHeight="1" x14ac:dyDescent="0.25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</row>
    <row r="642" spans="1:14" ht="134.25" customHeight="1" x14ac:dyDescent="0.25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</row>
    <row r="643" spans="1:14" ht="134.25" customHeight="1" x14ac:dyDescent="0.25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</row>
    <row r="644" spans="1:14" ht="134.25" customHeight="1" x14ac:dyDescent="0.25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</row>
    <row r="645" spans="1:14" ht="134.25" customHeight="1" x14ac:dyDescent="0.2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</row>
    <row r="646" spans="1:14" ht="134.25" customHeight="1" x14ac:dyDescent="0.25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</row>
    <row r="647" spans="1:14" ht="134.25" customHeight="1" x14ac:dyDescent="0.25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</row>
    <row r="648" spans="1:14" ht="134.25" customHeight="1" x14ac:dyDescent="0.25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</row>
    <row r="649" spans="1:14" ht="134.25" customHeight="1" x14ac:dyDescent="0.25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</row>
    <row r="650" spans="1:14" ht="134.25" customHeight="1" x14ac:dyDescent="0.25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</row>
    <row r="651" spans="1:14" ht="134.25" customHeight="1" x14ac:dyDescent="0.25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</row>
    <row r="652" spans="1:14" ht="134.25" customHeight="1" x14ac:dyDescent="0.25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</row>
    <row r="653" spans="1:14" ht="134.25" customHeight="1" x14ac:dyDescent="0.25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</row>
    <row r="654" spans="1:14" ht="134.25" customHeight="1" x14ac:dyDescent="0.25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</row>
    <row r="655" spans="1:14" ht="134.25" customHeight="1" x14ac:dyDescent="0.2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</row>
    <row r="656" spans="1:14" ht="134.25" customHeight="1" x14ac:dyDescent="0.25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</row>
    <row r="657" spans="1:14" ht="134.25" customHeight="1" x14ac:dyDescent="0.25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</row>
    <row r="658" spans="1:14" ht="134.25" customHeight="1" x14ac:dyDescent="0.25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</row>
    <row r="659" spans="1:14" ht="134.25" customHeight="1" x14ac:dyDescent="0.25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</row>
    <row r="660" spans="1:14" ht="134.25" customHeight="1" x14ac:dyDescent="0.25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</row>
    <row r="661" spans="1:14" ht="134.25" customHeight="1" x14ac:dyDescent="0.25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</row>
    <row r="662" spans="1:14" ht="134.25" customHeight="1" x14ac:dyDescent="0.25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</row>
    <row r="663" spans="1:14" ht="134.25" customHeight="1" x14ac:dyDescent="0.25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</row>
    <row r="664" spans="1:14" ht="134.25" customHeight="1" x14ac:dyDescent="0.25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</row>
    <row r="665" spans="1:14" ht="134.25" customHeight="1" x14ac:dyDescent="0.2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</row>
    <row r="666" spans="1:14" ht="134.25" customHeight="1" x14ac:dyDescent="0.25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</row>
    <row r="667" spans="1:14" ht="134.25" customHeight="1" x14ac:dyDescent="0.25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</row>
    <row r="668" spans="1:14" ht="134.25" customHeight="1" x14ac:dyDescent="0.25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</row>
    <row r="669" spans="1:14" ht="134.25" customHeight="1" x14ac:dyDescent="0.25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</row>
    <row r="670" spans="1:14" ht="134.25" customHeight="1" x14ac:dyDescent="0.25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</row>
    <row r="671" spans="1:14" ht="134.25" customHeight="1" x14ac:dyDescent="0.25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</row>
    <row r="672" spans="1:14" ht="134.25" customHeight="1" x14ac:dyDescent="0.25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</row>
    <row r="673" spans="1:14" ht="134.25" customHeight="1" x14ac:dyDescent="0.25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</row>
    <row r="674" spans="1:14" ht="134.25" customHeight="1" x14ac:dyDescent="0.25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</row>
    <row r="675" spans="1:14" ht="134.25" customHeight="1" x14ac:dyDescent="0.2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</row>
    <row r="676" spans="1:14" ht="134.25" customHeight="1" x14ac:dyDescent="0.25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</row>
    <row r="677" spans="1:14" ht="134.25" customHeight="1" x14ac:dyDescent="0.25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</row>
    <row r="678" spans="1:14" ht="134.25" customHeight="1" x14ac:dyDescent="0.25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</row>
    <row r="679" spans="1:14" ht="134.25" customHeight="1" x14ac:dyDescent="0.25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</row>
    <row r="680" spans="1:14" ht="134.25" customHeight="1" x14ac:dyDescent="0.25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</row>
    <row r="681" spans="1:14" ht="134.25" customHeight="1" x14ac:dyDescent="0.25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</row>
    <row r="682" spans="1:14" ht="134.25" customHeight="1" x14ac:dyDescent="0.25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</row>
    <row r="683" spans="1:14" ht="134.25" customHeight="1" x14ac:dyDescent="0.25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</row>
    <row r="684" spans="1:14" ht="134.25" customHeight="1" x14ac:dyDescent="0.25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</row>
    <row r="685" spans="1:14" ht="134.25" customHeight="1" x14ac:dyDescent="0.2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</row>
    <row r="686" spans="1:14" ht="134.25" customHeight="1" x14ac:dyDescent="0.25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</row>
    <row r="687" spans="1:14" ht="134.25" customHeight="1" x14ac:dyDescent="0.25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</row>
    <row r="688" spans="1:14" ht="134.25" customHeight="1" x14ac:dyDescent="0.25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</row>
    <row r="689" spans="1:14" ht="134.25" customHeight="1" x14ac:dyDescent="0.25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</row>
    <row r="690" spans="1:14" ht="134.25" customHeight="1" x14ac:dyDescent="0.25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</row>
    <row r="691" spans="1:14" ht="134.25" customHeight="1" x14ac:dyDescent="0.25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</row>
    <row r="692" spans="1:14" ht="134.25" customHeight="1" x14ac:dyDescent="0.25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</row>
    <row r="693" spans="1:14" ht="134.25" customHeight="1" x14ac:dyDescent="0.25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</row>
    <row r="694" spans="1:14" ht="134.25" customHeight="1" x14ac:dyDescent="0.25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</row>
    <row r="695" spans="1:14" ht="134.25" customHeight="1" x14ac:dyDescent="0.2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</row>
    <row r="696" spans="1:14" ht="134.25" customHeight="1" x14ac:dyDescent="0.25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</row>
    <row r="697" spans="1:14" ht="134.25" customHeight="1" x14ac:dyDescent="0.25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</row>
    <row r="698" spans="1:14" ht="134.25" customHeight="1" x14ac:dyDescent="0.25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</row>
    <row r="699" spans="1:14" ht="134.25" customHeight="1" x14ac:dyDescent="0.25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</row>
    <row r="700" spans="1:14" ht="134.25" customHeight="1" x14ac:dyDescent="0.25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</row>
    <row r="701" spans="1:14" ht="134.25" customHeight="1" x14ac:dyDescent="0.25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</row>
    <row r="702" spans="1:14" ht="134.25" customHeight="1" x14ac:dyDescent="0.25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</row>
    <row r="703" spans="1:14" ht="134.25" customHeight="1" x14ac:dyDescent="0.25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</row>
    <row r="704" spans="1:14" ht="134.25" customHeight="1" x14ac:dyDescent="0.25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</row>
    <row r="705" spans="1:14" ht="134.25" customHeight="1" x14ac:dyDescent="0.2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</row>
    <row r="706" spans="1:14" ht="134.25" customHeight="1" x14ac:dyDescent="0.25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</row>
    <row r="707" spans="1:14" ht="134.25" customHeight="1" x14ac:dyDescent="0.25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</row>
    <row r="708" spans="1:14" ht="134.25" customHeight="1" x14ac:dyDescent="0.25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</row>
    <row r="709" spans="1:14" ht="134.25" customHeight="1" x14ac:dyDescent="0.25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</row>
    <row r="710" spans="1:14" ht="134.25" customHeight="1" x14ac:dyDescent="0.25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</row>
    <row r="711" spans="1:14" ht="134.25" customHeight="1" x14ac:dyDescent="0.25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</row>
    <row r="712" spans="1:14" ht="134.25" customHeight="1" x14ac:dyDescent="0.25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</row>
    <row r="713" spans="1:14" ht="134.25" customHeight="1" x14ac:dyDescent="0.25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</row>
    <row r="714" spans="1:14" ht="134.25" customHeight="1" x14ac:dyDescent="0.25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</row>
    <row r="715" spans="1:14" ht="134.25" customHeight="1" x14ac:dyDescent="0.2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</row>
    <row r="716" spans="1:14" ht="134.25" customHeight="1" x14ac:dyDescent="0.25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</row>
    <row r="717" spans="1:14" ht="134.25" customHeight="1" x14ac:dyDescent="0.25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</row>
    <row r="718" spans="1:14" ht="134.25" customHeight="1" x14ac:dyDescent="0.25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</row>
    <row r="719" spans="1:14" ht="134.25" customHeight="1" x14ac:dyDescent="0.25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</row>
    <row r="720" spans="1:14" ht="134.25" customHeight="1" x14ac:dyDescent="0.25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</row>
    <row r="721" spans="1:14" ht="134.25" customHeight="1" x14ac:dyDescent="0.25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</row>
    <row r="722" spans="1:14" ht="134.25" customHeight="1" x14ac:dyDescent="0.25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</row>
    <row r="723" spans="1:14" ht="134.25" customHeight="1" x14ac:dyDescent="0.25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</row>
    <row r="724" spans="1:14" ht="134.25" customHeight="1" x14ac:dyDescent="0.25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</row>
    <row r="725" spans="1:14" ht="134.25" customHeight="1" x14ac:dyDescent="0.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</row>
    <row r="726" spans="1:14" ht="134.25" customHeight="1" x14ac:dyDescent="0.25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</row>
    <row r="727" spans="1:14" ht="134.25" customHeight="1" x14ac:dyDescent="0.25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</row>
    <row r="728" spans="1:14" ht="134.25" customHeight="1" x14ac:dyDescent="0.25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</row>
    <row r="729" spans="1:14" ht="134.25" customHeight="1" x14ac:dyDescent="0.25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</row>
    <row r="730" spans="1:14" ht="134.25" customHeight="1" x14ac:dyDescent="0.25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</row>
    <row r="731" spans="1:14" ht="134.25" customHeight="1" x14ac:dyDescent="0.25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</row>
    <row r="732" spans="1:14" ht="134.25" customHeight="1" x14ac:dyDescent="0.25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</row>
    <row r="733" spans="1:14" ht="134.25" customHeight="1" x14ac:dyDescent="0.25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</row>
    <row r="734" spans="1:14" ht="134.25" customHeight="1" x14ac:dyDescent="0.25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</row>
    <row r="735" spans="1:14" ht="134.25" customHeight="1" x14ac:dyDescent="0.2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</row>
    <row r="736" spans="1:14" ht="134.25" customHeight="1" x14ac:dyDescent="0.25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</row>
    <row r="737" spans="1:14" ht="134.25" customHeight="1" x14ac:dyDescent="0.25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</row>
    <row r="738" spans="1:14" ht="134.25" customHeight="1" x14ac:dyDescent="0.25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</row>
    <row r="739" spans="1:14" ht="134.25" customHeight="1" x14ac:dyDescent="0.25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</row>
    <row r="740" spans="1:14" ht="134.25" customHeight="1" x14ac:dyDescent="0.25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</row>
    <row r="741" spans="1:14" ht="134.25" customHeight="1" x14ac:dyDescent="0.25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</row>
    <row r="742" spans="1:14" ht="134.25" customHeight="1" x14ac:dyDescent="0.25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</row>
    <row r="743" spans="1:14" ht="134.25" customHeight="1" x14ac:dyDescent="0.25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</row>
    <row r="744" spans="1:14" ht="134.25" customHeight="1" x14ac:dyDescent="0.25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</row>
    <row r="745" spans="1:14" ht="134.25" customHeight="1" x14ac:dyDescent="0.2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</row>
    <row r="746" spans="1:14" ht="134.25" customHeight="1" x14ac:dyDescent="0.25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</row>
    <row r="747" spans="1:14" ht="134.25" customHeight="1" x14ac:dyDescent="0.25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</row>
    <row r="748" spans="1:14" ht="134.25" customHeight="1" x14ac:dyDescent="0.25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</row>
    <row r="749" spans="1:14" ht="134.25" customHeight="1" x14ac:dyDescent="0.25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</row>
    <row r="750" spans="1:14" ht="134.25" customHeight="1" x14ac:dyDescent="0.25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</row>
    <row r="751" spans="1:14" ht="134.25" customHeight="1" x14ac:dyDescent="0.25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</row>
    <row r="752" spans="1:14" ht="134.25" customHeight="1" x14ac:dyDescent="0.25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</row>
    <row r="753" spans="1:14" ht="134.25" customHeight="1" x14ac:dyDescent="0.25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</row>
    <row r="754" spans="1:14" ht="134.25" customHeight="1" x14ac:dyDescent="0.25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</row>
    <row r="755" spans="1:14" ht="134.25" customHeight="1" x14ac:dyDescent="0.2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</row>
    <row r="756" spans="1:14" ht="134.25" customHeight="1" x14ac:dyDescent="0.25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</row>
    <row r="757" spans="1:14" ht="134.25" customHeight="1" x14ac:dyDescent="0.25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</row>
    <row r="758" spans="1:14" ht="134.25" customHeight="1" x14ac:dyDescent="0.25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</row>
    <row r="759" spans="1:14" ht="134.25" customHeight="1" x14ac:dyDescent="0.25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</row>
    <row r="760" spans="1:14" ht="134.25" customHeight="1" x14ac:dyDescent="0.25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</row>
    <row r="761" spans="1:14" ht="134.25" customHeight="1" x14ac:dyDescent="0.25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</row>
    <row r="762" spans="1:14" ht="134.25" customHeight="1" x14ac:dyDescent="0.25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</row>
    <row r="763" spans="1:14" ht="134.25" customHeight="1" x14ac:dyDescent="0.25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</row>
    <row r="764" spans="1:14" ht="134.25" customHeight="1" x14ac:dyDescent="0.25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</row>
    <row r="765" spans="1:14" ht="134.25" customHeight="1" x14ac:dyDescent="0.2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</row>
    <row r="766" spans="1:14" ht="134.25" customHeight="1" x14ac:dyDescent="0.25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</row>
    <row r="767" spans="1:14" ht="134.25" customHeight="1" x14ac:dyDescent="0.25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</row>
    <row r="768" spans="1:14" ht="134.25" customHeight="1" x14ac:dyDescent="0.25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</row>
    <row r="769" spans="1:14" ht="134.25" customHeight="1" x14ac:dyDescent="0.25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</row>
    <row r="770" spans="1:14" ht="134.25" customHeight="1" x14ac:dyDescent="0.25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</row>
    <row r="771" spans="1:14" ht="134.25" customHeight="1" x14ac:dyDescent="0.25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</row>
    <row r="772" spans="1:14" ht="134.25" customHeight="1" x14ac:dyDescent="0.25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</row>
    <row r="773" spans="1:14" ht="134.25" customHeight="1" x14ac:dyDescent="0.25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</row>
    <row r="774" spans="1:14" ht="134.25" customHeight="1" x14ac:dyDescent="0.25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</row>
    <row r="775" spans="1:14" ht="134.25" customHeight="1" x14ac:dyDescent="0.2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</row>
    <row r="776" spans="1:14" ht="134.25" customHeight="1" x14ac:dyDescent="0.25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</row>
    <row r="777" spans="1:14" ht="134.25" customHeight="1" x14ac:dyDescent="0.25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</row>
    <row r="778" spans="1:14" ht="134.25" customHeight="1" x14ac:dyDescent="0.25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</row>
    <row r="779" spans="1:14" ht="134.25" customHeight="1" x14ac:dyDescent="0.25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</row>
    <row r="780" spans="1:14" ht="134.25" customHeight="1" x14ac:dyDescent="0.25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</row>
    <row r="781" spans="1:14" ht="134.25" customHeight="1" x14ac:dyDescent="0.25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</row>
    <row r="782" spans="1:14" ht="134.25" customHeight="1" x14ac:dyDescent="0.25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</row>
    <row r="783" spans="1:14" ht="134.25" customHeight="1" x14ac:dyDescent="0.25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</row>
    <row r="784" spans="1:14" ht="134.25" customHeight="1" x14ac:dyDescent="0.25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</row>
    <row r="785" spans="1:14" ht="134.25" customHeight="1" x14ac:dyDescent="0.2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</row>
    <row r="786" spans="1:14" ht="134.25" customHeight="1" x14ac:dyDescent="0.25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</row>
    <row r="787" spans="1:14" ht="134.25" customHeight="1" x14ac:dyDescent="0.25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</row>
    <row r="788" spans="1:14" ht="134.25" customHeight="1" x14ac:dyDescent="0.25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</row>
    <row r="789" spans="1:14" ht="134.25" customHeight="1" x14ac:dyDescent="0.25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</row>
    <row r="790" spans="1:14" ht="134.25" customHeight="1" x14ac:dyDescent="0.25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</row>
    <row r="791" spans="1:14" ht="134.25" customHeight="1" x14ac:dyDescent="0.25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</row>
    <row r="792" spans="1:14" ht="134.25" customHeight="1" x14ac:dyDescent="0.25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</row>
    <row r="793" spans="1:14" ht="134.25" customHeight="1" x14ac:dyDescent="0.25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</row>
    <row r="794" spans="1:14" ht="134.25" customHeight="1" x14ac:dyDescent="0.25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</row>
    <row r="795" spans="1:14" ht="134.25" customHeight="1" x14ac:dyDescent="0.2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</row>
    <row r="796" spans="1:14" ht="134.25" customHeight="1" x14ac:dyDescent="0.25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</row>
    <row r="797" spans="1:14" ht="134.25" customHeight="1" x14ac:dyDescent="0.25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</row>
    <row r="798" spans="1:14" ht="134.25" customHeight="1" x14ac:dyDescent="0.25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</row>
    <row r="799" spans="1:14" ht="134.25" customHeight="1" x14ac:dyDescent="0.25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</row>
    <row r="800" spans="1:14" ht="134.25" customHeight="1" x14ac:dyDescent="0.25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</row>
    <row r="801" spans="1:14" ht="134.25" customHeight="1" x14ac:dyDescent="0.25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</row>
    <row r="802" spans="1:14" ht="134.25" customHeight="1" x14ac:dyDescent="0.25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</row>
    <row r="803" spans="1:14" ht="134.25" customHeight="1" x14ac:dyDescent="0.25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</row>
    <row r="804" spans="1:14" ht="134.25" customHeight="1" x14ac:dyDescent="0.25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</row>
    <row r="805" spans="1:14" ht="134.25" customHeight="1" x14ac:dyDescent="0.2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</row>
    <row r="806" spans="1:14" ht="134.25" customHeight="1" x14ac:dyDescent="0.25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</row>
    <row r="807" spans="1:14" ht="134.25" customHeight="1" x14ac:dyDescent="0.25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</row>
    <row r="808" spans="1:14" ht="134.25" customHeight="1" x14ac:dyDescent="0.25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</row>
    <row r="809" spans="1:14" ht="134.25" customHeight="1" x14ac:dyDescent="0.25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</row>
    <row r="810" spans="1:14" ht="134.25" customHeight="1" x14ac:dyDescent="0.25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</row>
    <row r="811" spans="1:14" ht="134.25" customHeight="1" x14ac:dyDescent="0.25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</row>
    <row r="812" spans="1:14" ht="134.25" customHeight="1" x14ac:dyDescent="0.25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</row>
    <row r="813" spans="1:14" ht="134.25" customHeight="1" x14ac:dyDescent="0.25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</row>
    <row r="814" spans="1:14" ht="134.25" customHeight="1" x14ac:dyDescent="0.25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</row>
    <row r="815" spans="1:14" ht="134.25" customHeight="1" x14ac:dyDescent="0.2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</row>
    <row r="816" spans="1:14" ht="134.25" customHeight="1" x14ac:dyDescent="0.25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</row>
    <row r="817" spans="1:14" ht="134.25" customHeight="1" x14ac:dyDescent="0.25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</row>
    <row r="818" spans="1:14" ht="134.25" customHeight="1" x14ac:dyDescent="0.25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</row>
    <row r="819" spans="1:14" ht="134.25" customHeight="1" x14ac:dyDescent="0.25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</row>
    <row r="820" spans="1:14" ht="134.25" customHeight="1" x14ac:dyDescent="0.25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</row>
    <row r="821" spans="1:14" ht="134.25" customHeight="1" x14ac:dyDescent="0.25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</row>
    <row r="822" spans="1:14" ht="134.25" customHeight="1" x14ac:dyDescent="0.25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</row>
    <row r="823" spans="1:14" ht="134.25" customHeight="1" x14ac:dyDescent="0.25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</row>
    <row r="824" spans="1:14" ht="134.25" customHeight="1" x14ac:dyDescent="0.25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</row>
    <row r="825" spans="1:14" ht="134.25" customHeight="1" x14ac:dyDescent="0.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</row>
    <row r="826" spans="1:14" ht="134.25" customHeight="1" x14ac:dyDescent="0.25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</row>
    <row r="827" spans="1:14" ht="134.25" customHeight="1" x14ac:dyDescent="0.25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</row>
    <row r="828" spans="1:14" ht="134.25" customHeight="1" x14ac:dyDescent="0.25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</row>
    <row r="829" spans="1:14" ht="134.25" customHeight="1" x14ac:dyDescent="0.25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</row>
    <row r="830" spans="1:14" ht="134.25" customHeight="1" x14ac:dyDescent="0.25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</row>
    <row r="831" spans="1:14" ht="134.25" customHeight="1" x14ac:dyDescent="0.25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</row>
    <row r="832" spans="1:14" ht="134.25" customHeight="1" x14ac:dyDescent="0.25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</row>
    <row r="833" spans="1:14" ht="134.25" customHeight="1" x14ac:dyDescent="0.25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</row>
    <row r="834" spans="1:14" ht="134.25" customHeight="1" x14ac:dyDescent="0.25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</row>
    <row r="835" spans="1:14" ht="134.25" customHeight="1" x14ac:dyDescent="0.2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</row>
    <row r="836" spans="1:14" ht="134.25" customHeight="1" x14ac:dyDescent="0.25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</row>
    <row r="837" spans="1:14" ht="134.25" customHeight="1" x14ac:dyDescent="0.25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</row>
    <row r="838" spans="1:14" ht="134.25" customHeight="1" x14ac:dyDescent="0.25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</row>
    <row r="839" spans="1:14" ht="134.25" customHeight="1" x14ac:dyDescent="0.25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</row>
    <row r="840" spans="1:14" ht="134.25" customHeight="1" x14ac:dyDescent="0.25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</row>
    <row r="841" spans="1:14" ht="134.25" customHeight="1" x14ac:dyDescent="0.25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</row>
    <row r="842" spans="1:14" ht="134.25" customHeight="1" x14ac:dyDescent="0.25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</row>
    <row r="843" spans="1:14" ht="134.25" customHeight="1" x14ac:dyDescent="0.25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</row>
    <row r="844" spans="1:14" ht="134.25" customHeight="1" x14ac:dyDescent="0.25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</row>
    <row r="845" spans="1:14" ht="134.25" customHeight="1" x14ac:dyDescent="0.2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</row>
    <row r="846" spans="1:14" ht="134.25" customHeight="1" x14ac:dyDescent="0.25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</row>
    <row r="847" spans="1:14" ht="134.25" customHeight="1" x14ac:dyDescent="0.25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</row>
    <row r="848" spans="1:14" ht="134.25" customHeight="1" x14ac:dyDescent="0.25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</row>
    <row r="849" spans="1:14" ht="134.25" customHeight="1" x14ac:dyDescent="0.25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</row>
    <row r="850" spans="1:14" ht="134.25" customHeight="1" x14ac:dyDescent="0.25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</row>
    <row r="851" spans="1:14" ht="134.25" customHeight="1" x14ac:dyDescent="0.25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</row>
    <row r="852" spans="1:14" ht="134.25" customHeight="1" x14ac:dyDescent="0.25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</row>
    <row r="853" spans="1:14" ht="134.25" customHeight="1" x14ac:dyDescent="0.25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</row>
    <row r="854" spans="1:14" ht="134.25" customHeight="1" x14ac:dyDescent="0.25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</row>
    <row r="855" spans="1:14" ht="134.25" customHeight="1" x14ac:dyDescent="0.2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</row>
    <row r="856" spans="1:14" ht="134.25" customHeight="1" x14ac:dyDescent="0.25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</row>
    <row r="857" spans="1:14" ht="134.25" customHeight="1" x14ac:dyDescent="0.25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</row>
    <row r="858" spans="1:14" ht="134.25" customHeight="1" x14ac:dyDescent="0.25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</row>
    <row r="859" spans="1:14" ht="134.25" customHeight="1" x14ac:dyDescent="0.25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</row>
    <row r="860" spans="1:14" ht="134.25" customHeight="1" x14ac:dyDescent="0.25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</row>
    <row r="861" spans="1:14" ht="134.25" customHeight="1" x14ac:dyDescent="0.25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</row>
    <row r="862" spans="1:14" ht="134.25" customHeight="1" x14ac:dyDescent="0.25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</row>
    <row r="863" spans="1:14" ht="134.25" customHeight="1" x14ac:dyDescent="0.25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</row>
    <row r="864" spans="1:14" ht="134.25" customHeight="1" x14ac:dyDescent="0.25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</row>
    <row r="865" spans="1:14" ht="134.25" customHeight="1" x14ac:dyDescent="0.2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</row>
    <row r="866" spans="1:14" ht="134.25" customHeight="1" x14ac:dyDescent="0.25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</row>
    <row r="867" spans="1:14" ht="134.25" customHeight="1" x14ac:dyDescent="0.25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</row>
    <row r="868" spans="1:14" ht="134.25" customHeight="1" x14ac:dyDescent="0.25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</row>
    <row r="869" spans="1:14" ht="134.25" customHeight="1" x14ac:dyDescent="0.25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</row>
    <row r="870" spans="1:14" ht="134.25" customHeight="1" x14ac:dyDescent="0.25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</row>
    <row r="871" spans="1:14" ht="134.25" customHeight="1" x14ac:dyDescent="0.25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</row>
    <row r="872" spans="1:14" ht="134.25" customHeight="1" x14ac:dyDescent="0.25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</row>
    <row r="873" spans="1:14" ht="134.25" customHeight="1" x14ac:dyDescent="0.25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</row>
    <row r="874" spans="1:14" ht="134.25" customHeight="1" x14ac:dyDescent="0.25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</row>
    <row r="875" spans="1:14" ht="134.25" customHeight="1" x14ac:dyDescent="0.2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</row>
    <row r="876" spans="1:14" ht="134.25" customHeight="1" x14ac:dyDescent="0.25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</row>
    <row r="877" spans="1:14" ht="134.25" customHeight="1" x14ac:dyDescent="0.25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</row>
    <row r="878" spans="1:14" ht="134.25" customHeight="1" x14ac:dyDescent="0.25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</row>
    <row r="879" spans="1:14" ht="134.25" customHeight="1" x14ac:dyDescent="0.25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</row>
    <row r="880" spans="1:14" ht="134.25" customHeight="1" x14ac:dyDescent="0.25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</row>
    <row r="881" spans="1:14" ht="134.25" customHeight="1" x14ac:dyDescent="0.25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</row>
    <row r="882" spans="1:14" ht="134.25" customHeight="1" x14ac:dyDescent="0.25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</row>
    <row r="883" spans="1:14" ht="134.25" customHeight="1" x14ac:dyDescent="0.25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</row>
    <row r="884" spans="1:14" ht="134.25" customHeight="1" x14ac:dyDescent="0.25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</row>
    <row r="885" spans="1:14" ht="134.25" customHeight="1" x14ac:dyDescent="0.2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</row>
    <row r="886" spans="1:14" ht="134.25" customHeight="1" x14ac:dyDescent="0.25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</row>
    <row r="887" spans="1:14" ht="134.25" customHeight="1" x14ac:dyDescent="0.25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</row>
    <row r="888" spans="1:14" ht="134.25" customHeight="1" x14ac:dyDescent="0.25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</row>
    <row r="889" spans="1:14" ht="134.25" customHeight="1" x14ac:dyDescent="0.25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</row>
    <row r="890" spans="1:14" ht="134.25" customHeight="1" x14ac:dyDescent="0.25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</row>
    <row r="891" spans="1:14" ht="134.25" customHeight="1" x14ac:dyDescent="0.25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</row>
    <row r="892" spans="1:14" ht="134.25" customHeight="1" x14ac:dyDescent="0.25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</row>
    <row r="893" spans="1:14" ht="134.25" customHeight="1" x14ac:dyDescent="0.25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</row>
    <row r="894" spans="1:14" ht="134.25" customHeight="1" x14ac:dyDescent="0.25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</row>
    <row r="895" spans="1:14" ht="134.25" customHeight="1" x14ac:dyDescent="0.2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</row>
    <row r="896" spans="1:14" ht="134.25" customHeight="1" x14ac:dyDescent="0.25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</row>
    <row r="897" spans="1:14" ht="134.25" customHeight="1" x14ac:dyDescent="0.25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</row>
    <row r="898" spans="1:14" ht="134.25" customHeight="1" x14ac:dyDescent="0.25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</row>
    <row r="899" spans="1:14" ht="134.25" customHeight="1" x14ac:dyDescent="0.25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</row>
    <row r="900" spans="1:14" ht="134.25" customHeight="1" x14ac:dyDescent="0.25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</row>
    <row r="901" spans="1:14" ht="134.25" customHeight="1" x14ac:dyDescent="0.25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</row>
    <row r="902" spans="1:14" ht="134.25" customHeight="1" x14ac:dyDescent="0.25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</row>
    <row r="903" spans="1:14" ht="134.25" customHeight="1" x14ac:dyDescent="0.25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</row>
    <row r="904" spans="1:14" ht="134.25" customHeight="1" x14ac:dyDescent="0.25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</row>
    <row r="905" spans="1:14" ht="134.25" customHeight="1" x14ac:dyDescent="0.2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</row>
    <row r="906" spans="1:14" ht="134.25" customHeight="1" x14ac:dyDescent="0.25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</row>
    <row r="907" spans="1:14" ht="134.25" customHeight="1" x14ac:dyDescent="0.25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</row>
    <row r="908" spans="1:14" ht="134.25" customHeight="1" x14ac:dyDescent="0.25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</row>
    <row r="909" spans="1:14" ht="134.25" customHeight="1" x14ac:dyDescent="0.25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</row>
    <row r="910" spans="1:14" ht="134.25" customHeight="1" x14ac:dyDescent="0.25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</row>
    <row r="911" spans="1:14" ht="134.25" customHeight="1" x14ac:dyDescent="0.25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</row>
    <row r="912" spans="1:14" ht="134.25" customHeight="1" x14ac:dyDescent="0.25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</row>
    <row r="913" spans="1:14" ht="134.25" customHeight="1" x14ac:dyDescent="0.25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</row>
    <row r="914" spans="1:14" ht="134.25" customHeight="1" x14ac:dyDescent="0.25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</row>
    <row r="915" spans="1:14" ht="134.25" customHeight="1" x14ac:dyDescent="0.2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</row>
    <row r="916" spans="1:14" ht="134.25" customHeight="1" x14ac:dyDescent="0.25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</row>
    <row r="917" spans="1:14" ht="134.25" customHeight="1" x14ac:dyDescent="0.25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</row>
    <row r="918" spans="1:14" ht="134.25" customHeight="1" x14ac:dyDescent="0.25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</row>
    <row r="919" spans="1:14" ht="134.25" customHeight="1" x14ac:dyDescent="0.25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</row>
    <row r="920" spans="1:14" ht="134.25" customHeight="1" x14ac:dyDescent="0.25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</row>
    <row r="921" spans="1:14" ht="134.25" customHeight="1" x14ac:dyDescent="0.25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</row>
    <row r="922" spans="1:14" ht="134.25" customHeight="1" x14ac:dyDescent="0.25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</row>
    <row r="923" spans="1:14" ht="134.25" customHeight="1" x14ac:dyDescent="0.25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</row>
    <row r="924" spans="1:14" ht="134.25" customHeight="1" x14ac:dyDescent="0.25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</row>
    <row r="925" spans="1:14" ht="134.25" customHeight="1" x14ac:dyDescent="0.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</row>
    <row r="926" spans="1:14" ht="134.25" customHeight="1" x14ac:dyDescent="0.25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</row>
    <row r="927" spans="1:14" ht="134.25" customHeight="1" x14ac:dyDescent="0.25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</row>
    <row r="928" spans="1:14" ht="134.25" customHeight="1" x14ac:dyDescent="0.25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</row>
    <row r="929" spans="1:14" ht="134.25" customHeight="1" x14ac:dyDescent="0.25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</row>
    <row r="930" spans="1:14" ht="134.25" customHeight="1" x14ac:dyDescent="0.25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</row>
    <row r="931" spans="1:14" ht="134.25" customHeight="1" x14ac:dyDescent="0.25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</row>
    <row r="932" spans="1:14" ht="134.25" customHeight="1" x14ac:dyDescent="0.25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</row>
    <row r="933" spans="1:14" ht="134.25" customHeight="1" x14ac:dyDescent="0.25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</row>
    <row r="934" spans="1:14" ht="134.25" customHeight="1" x14ac:dyDescent="0.25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</row>
    <row r="935" spans="1:14" ht="134.25" customHeight="1" x14ac:dyDescent="0.2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</row>
    <row r="936" spans="1:14" ht="134.25" customHeight="1" x14ac:dyDescent="0.25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</row>
    <row r="937" spans="1:14" ht="134.25" customHeight="1" x14ac:dyDescent="0.25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</row>
    <row r="938" spans="1:14" ht="134.25" customHeight="1" x14ac:dyDescent="0.25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</row>
    <row r="939" spans="1:14" ht="134.25" customHeight="1" x14ac:dyDescent="0.25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</row>
    <row r="940" spans="1:14" ht="134.25" customHeight="1" x14ac:dyDescent="0.25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</row>
    <row r="941" spans="1:14" ht="134.25" customHeight="1" x14ac:dyDescent="0.25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</row>
    <row r="942" spans="1:14" ht="134.25" customHeight="1" x14ac:dyDescent="0.25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</row>
    <row r="943" spans="1:14" ht="134.25" customHeight="1" x14ac:dyDescent="0.25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</row>
    <row r="944" spans="1:14" ht="134.25" customHeight="1" x14ac:dyDescent="0.25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</row>
    <row r="945" spans="1:14" ht="134.25" customHeight="1" x14ac:dyDescent="0.2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</row>
    <row r="946" spans="1:14" ht="134.25" customHeight="1" x14ac:dyDescent="0.25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</row>
    <row r="947" spans="1:14" ht="134.25" customHeight="1" x14ac:dyDescent="0.25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</row>
    <row r="948" spans="1:14" ht="134.25" customHeight="1" x14ac:dyDescent="0.25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</row>
    <row r="949" spans="1:14" ht="134.25" customHeight="1" x14ac:dyDescent="0.25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</row>
    <row r="950" spans="1:14" ht="134.25" customHeight="1" x14ac:dyDescent="0.25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</row>
    <row r="951" spans="1:14" ht="134.25" customHeight="1" x14ac:dyDescent="0.25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</row>
    <row r="952" spans="1:14" ht="134.25" customHeight="1" x14ac:dyDescent="0.25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</row>
    <row r="953" spans="1:14" ht="134.25" customHeight="1" x14ac:dyDescent="0.25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</row>
    <row r="954" spans="1:14" ht="134.25" customHeight="1" x14ac:dyDescent="0.25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</row>
    <row r="955" spans="1:14" ht="134.25" customHeight="1" x14ac:dyDescent="0.2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</row>
    <row r="956" spans="1:14" ht="134.25" customHeight="1" x14ac:dyDescent="0.25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</row>
    <row r="957" spans="1:14" ht="134.25" customHeight="1" x14ac:dyDescent="0.25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</row>
    <row r="958" spans="1:14" ht="134.25" customHeight="1" x14ac:dyDescent="0.25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</row>
    <row r="959" spans="1:14" ht="134.25" customHeight="1" x14ac:dyDescent="0.25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</row>
    <row r="960" spans="1:14" ht="134.25" customHeight="1" x14ac:dyDescent="0.25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</row>
    <row r="961" spans="1:14" ht="134.25" customHeight="1" x14ac:dyDescent="0.25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</row>
    <row r="962" spans="1:14" ht="134.25" customHeight="1" x14ac:dyDescent="0.25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</row>
    <row r="963" spans="1:14" ht="134.25" customHeight="1" x14ac:dyDescent="0.25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</row>
    <row r="964" spans="1:14" ht="134.25" customHeight="1" x14ac:dyDescent="0.25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</row>
    <row r="965" spans="1:14" ht="134.25" customHeight="1" x14ac:dyDescent="0.2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</row>
    <row r="966" spans="1:14" ht="134.25" customHeight="1" x14ac:dyDescent="0.25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</row>
    <row r="967" spans="1:14" ht="134.25" customHeight="1" x14ac:dyDescent="0.25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</row>
    <row r="968" spans="1:14" ht="134.25" customHeight="1" x14ac:dyDescent="0.25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</row>
    <row r="969" spans="1:14" ht="134.25" customHeight="1" x14ac:dyDescent="0.25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</row>
    <row r="970" spans="1:14" ht="134.25" customHeight="1" x14ac:dyDescent="0.25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</row>
    <row r="971" spans="1:14" ht="134.25" customHeight="1" x14ac:dyDescent="0.25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</row>
    <row r="972" spans="1:14" ht="134.25" customHeight="1" x14ac:dyDescent="0.25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</row>
    <row r="973" spans="1:14" ht="134.25" customHeight="1" x14ac:dyDescent="0.25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</row>
    <row r="974" spans="1:14" ht="134.25" customHeight="1" x14ac:dyDescent="0.25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</row>
    <row r="975" spans="1:14" ht="134.25" customHeight="1" x14ac:dyDescent="0.2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</row>
    <row r="976" spans="1:14" ht="134.25" customHeight="1" x14ac:dyDescent="0.25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</row>
    <row r="977" spans="1:14" ht="134.25" customHeight="1" x14ac:dyDescent="0.25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</row>
    <row r="978" spans="1:14" ht="134.25" customHeight="1" x14ac:dyDescent="0.25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</row>
    <row r="979" spans="1:14" ht="134.25" customHeight="1" x14ac:dyDescent="0.25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</row>
    <row r="980" spans="1:14" ht="134.25" customHeight="1" x14ac:dyDescent="0.25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</row>
    <row r="981" spans="1:14" ht="134.25" customHeight="1" x14ac:dyDescent="0.25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</row>
    <row r="982" spans="1:14" ht="134.25" customHeight="1" x14ac:dyDescent="0.25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</row>
    <row r="983" spans="1:14" ht="134.25" customHeight="1" x14ac:dyDescent="0.25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</row>
    <row r="984" spans="1:14" ht="134.25" customHeight="1" x14ac:dyDescent="0.25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</row>
    <row r="985" spans="1:14" ht="134.25" customHeight="1" x14ac:dyDescent="0.2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</row>
    <row r="986" spans="1:14" ht="134.25" customHeight="1" x14ac:dyDescent="0.25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</row>
    <row r="987" spans="1:14" ht="134.25" customHeight="1" x14ac:dyDescent="0.25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</row>
    <row r="988" spans="1:14" ht="134.25" customHeight="1" x14ac:dyDescent="0.25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</row>
    <row r="989" spans="1:14" ht="134.25" customHeight="1" x14ac:dyDescent="0.25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</row>
    <row r="990" spans="1:14" ht="134.25" customHeight="1" x14ac:dyDescent="0.25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</row>
    <row r="991" spans="1:14" ht="134.25" customHeight="1" x14ac:dyDescent="0.25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</row>
    <row r="992" spans="1:14" ht="134.25" customHeight="1" x14ac:dyDescent="0.25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</row>
    <row r="993" spans="1:14" ht="134.25" customHeight="1" x14ac:dyDescent="0.25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</row>
    <row r="994" spans="1:14" ht="134.25" customHeight="1" x14ac:dyDescent="0.25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</row>
    <row r="995" spans="1:14" ht="134.25" customHeight="1" x14ac:dyDescent="0.2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</row>
    <row r="996" spans="1:14" ht="134.25" customHeight="1" x14ac:dyDescent="0.25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</row>
    <row r="997" spans="1:14" ht="134.25" customHeight="1" x14ac:dyDescent="0.25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</row>
    <row r="998" spans="1:14" ht="134.25" customHeight="1" x14ac:dyDescent="0.25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</row>
    <row r="999" spans="1:14" ht="134.25" customHeight="1" x14ac:dyDescent="0.25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</row>
    <row r="1000" spans="1:14" ht="134.25" customHeight="1" x14ac:dyDescent="0.25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</row>
    <row r="1001" spans="1:14" ht="134.25" customHeight="1" x14ac:dyDescent="0.25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</row>
    <row r="1002" spans="1:14" ht="134.25" customHeight="1" x14ac:dyDescent="0.25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</row>
    <row r="1003" spans="1:14" ht="134.25" customHeight="1" x14ac:dyDescent="0.25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</row>
  </sheetData>
  <mergeCells count="1">
    <mergeCell ref="B3:O3"/>
  </mergeCells>
  <phoneticPr fontId="13" type="noConversion"/>
  <conditionalFormatting sqref="K6:K11">
    <cfRule type="colorScale" priority="8">
      <colorScale>
        <cfvo type="min"/>
        <cfvo type="max"/>
        <color rgb="FFFFFFFF"/>
        <color rgb="FF57BB8A"/>
      </colorScale>
    </cfRule>
  </conditionalFormatting>
  <conditionalFormatting sqref="L6:L11 L14">
    <cfRule type="colorScale" priority="7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K15:L22" xr:uid="{00000000-0002-0000-0000-000003000000}">
      <formula1>#REF!</formula1>
    </dataValidation>
    <dataValidation type="list" allowBlank="1" showErrorMessage="1" sqref="L6:L11" xr:uid="{00000000-0002-0000-0000-000000000000}">
      <formula1>$L$32:$L$35</formula1>
    </dataValidation>
    <dataValidation type="list" allowBlank="1" showErrorMessage="1" sqref="K6:K11" xr:uid="{00000000-0002-0000-0000-000001000000}">
      <formula1>$K$32:$K$34</formula1>
    </dataValidation>
    <dataValidation type="custom" allowBlank="1" showDropDown="1" sqref="J6:J11" xr:uid="{00000000-0002-0000-0000-000002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D32" sqref="D32"/>
    </sheetView>
  </sheetViews>
  <sheetFormatPr baseColWidth="10" defaultColWidth="12.59765625" defaultRowHeight="15" customHeight="1" x14ac:dyDescent="0.25"/>
  <cols>
    <col min="1" max="1" width="9.3984375" customWidth="1"/>
    <col min="2" max="2" width="2.59765625" customWidth="1"/>
    <col min="3" max="15" width="10.59765625" customWidth="1"/>
    <col min="16" max="16" width="2.59765625" customWidth="1"/>
    <col min="17" max="26" width="9.3984375" customWidth="1"/>
  </cols>
  <sheetData>
    <row r="2" spans="1:26" ht="15" hidden="1" customHeight="1" x14ac:dyDescent="0.25"/>
    <row r="3" spans="1:26" ht="15" hidden="1" customHeight="1" x14ac:dyDescent="0.25"/>
    <row r="4" spans="1:26" ht="14.4" hidden="1" x14ac:dyDescent="0.3">
      <c r="C4" s="1"/>
      <c r="D4" s="1"/>
      <c r="E4" s="1"/>
      <c r="F4" s="2"/>
    </row>
    <row r="5" spans="1:26" ht="14.4" hidden="1" x14ac:dyDescent="0.3">
      <c r="C5" s="1"/>
      <c r="D5" s="1"/>
      <c r="E5" s="1"/>
      <c r="F5" s="2"/>
    </row>
    <row r="6" spans="1:26" ht="39.75" customHeight="1" x14ac:dyDescent="0.25">
      <c r="B6" s="84" t="s">
        <v>27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2"/>
    </row>
    <row r="7" spans="1:26" ht="9.75" customHeight="1" x14ac:dyDescent="0.25">
      <c r="A7" s="3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9.75" customHeight="1" x14ac:dyDescent="0.3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3"/>
    </row>
    <row r="9" spans="1:26" ht="30" customHeight="1" x14ac:dyDescent="0.25">
      <c r="B9" s="10"/>
      <c r="C9" s="11" t="s">
        <v>1</v>
      </c>
      <c r="D9" s="12"/>
      <c r="E9" s="81" t="s">
        <v>28</v>
      </c>
      <c r="F9" s="82"/>
      <c r="G9" s="12"/>
      <c r="H9" s="81" t="s">
        <v>11</v>
      </c>
      <c r="I9" s="82"/>
      <c r="J9" s="13"/>
      <c r="K9" s="13"/>
      <c r="L9" s="13"/>
      <c r="M9" s="13"/>
      <c r="N9" s="13"/>
      <c r="O9" s="13"/>
      <c r="P9" s="14"/>
      <c r="Q9" s="3"/>
    </row>
    <row r="10" spans="1:26" ht="30" customHeight="1" x14ac:dyDescent="0.25">
      <c r="B10" s="10"/>
      <c r="C10" s="15" t="s">
        <v>73</v>
      </c>
      <c r="D10" s="16"/>
      <c r="E10" s="83" t="str">
        <f>VLOOKUP(C10,'Formato descripción HU'!B6:O22,5,0)</f>
        <v>Administrador</v>
      </c>
      <c r="F10" s="82"/>
      <c r="G10" s="17"/>
      <c r="H10" s="83" t="str">
        <f>VLOOKUP(C10,'Formato descripción HU'!B6:O22,11,0)</f>
        <v>No iniciado</v>
      </c>
      <c r="I10" s="82"/>
      <c r="J10" s="17"/>
      <c r="K10" s="13"/>
      <c r="L10" s="13"/>
      <c r="M10" s="13"/>
      <c r="N10" s="13"/>
      <c r="O10" s="13"/>
      <c r="P10" s="14"/>
      <c r="Q10" s="3"/>
    </row>
    <row r="11" spans="1:26" ht="9.75" customHeight="1" x14ac:dyDescent="0.25">
      <c r="A11" s="3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 x14ac:dyDescent="0.25">
      <c r="A12" s="3"/>
      <c r="B12" s="10"/>
      <c r="C12" s="11" t="s">
        <v>29</v>
      </c>
      <c r="D12" s="16"/>
      <c r="E12" s="81" t="s">
        <v>10</v>
      </c>
      <c r="F12" s="82"/>
      <c r="G12" s="17"/>
      <c r="H12" s="81" t="s">
        <v>30</v>
      </c>
      <c r="I12" s="82"/>
      <c r="J12" s="17"/>
      <c r="K12" s="19"/>
      <c r="L12" s="19"/>
      <c r="M12" s="13"/>
      <c r="N12" s="19"/>
      <c r="O12" s="19"/>
      <c r="P12" s="1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25">
      <c r="A13" s="3"/>
      <c r="B13" s="10"/>
      <c r="C13" s="15">
        <f>VLOOKUP('Historia de Usuario'!C10,'Formato descripción HU'!B6:O22,8,0)</f>
        <v>12</v>
      </c>
      <c r="D13" s="16"/>
      <c r="E13" s="83" t="str">
        <f>VLOOKUP(C10,'Formato descripción HU'!B6:O22,10,0)</f>
        <v>Alta</v>
      </c>
      <c r="F13" s="82"/>
      <c r="G13" s="17"/>
      <c r="H13" s="83" t="str">
        <f>VLOOKUP(C10,'Formato descripción HU'!B6:O22,7,0)</f>
        <v>Cristhian Marcalla</v>
      </c>
      <c r="I13" s="82"/>
      <c r="J13" s="17"/>
      <c r="K13" s="19"/>
      <c r="L13" s="19"/>
      <c r="M13" s="13"/>
      <c r="N13" s="19"/>
      <c r="O13" s="19"/>
      <c r="P13" s="14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9.75" customHeight="1" x14ac:dyDescent="0.25">
      <c r="A14" s="3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 x14ac:dyDescent="0.25">
      <c r="A15" s="3"/>
      <c r="B15" s="10"/>
      <c r="C15" s="70" t="s">
        <v>31</v>
      </c>
      <c r="D15" s="68" t="str">
        <f>VLOOKUP(C10,'Formato descripción HU'!B6:O22,3,0)</f>
        <v>El sistema deberá permitir generar proformas o reportes de cotización para clientes.</v>
      </c>
      <c r="E15" s="60"/>
      <c r="F15" s="20"/>
      <c r="G15" s="70" t="s">
        <v>32</v>
      </c>
      <c r="H15" s="68" t="str">
        <f>VLOOKUP(C10,'Formato descripción HU'!B6:O22,4,0)</f>
        <v>Para agilizar la atención a los clientes y llevar un registro formal de las cotizaciones.</v>
      </c>
      <c r="I15" s="66"/>
      <c r="J15" s="60"/>
      <c r="K15" s="20"/>
      <c r="L15" s="70" t="s">
        <v>33</v>
      </c>
      <c r="M15" s="73" t="str">
        <f>VLOOKUP(C10,'Formato descripción HU'!B6:O22,6,0)</f>
        <v>Se implementará un formulario donde el Administrador podrá ingresar los datos del cliente, seleccionar los productos del catálogo, definir cantidades y precios. Con esta información, el sistema generará automáticamente la proforma y permitirá descargarla en formato PDF.</v>
      </c>
      <c r="N15" s="66"/>
      <c r="O15" s="60"/>
      <c r="P15" s="14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 x14ac:dyDescent="0.25">
      <c r="A16" s="3"/>
      <c r="B16" s="10"/>
      <c r="C16" s="71"/>
      <c r="D16" s="61"/>
      <c r="E16" s="62"/>
      <c r="F16" s="20"/>
      <c r="G16" s="71"/>
      <c r="H16" s="61"/>
      <c r="I16" s="49"/>
      <c r="J16" s="62"/>
      <c r="K16" s="20"/>
      <c r="L16" s="71"/>
      <c r="M16" s="61"/>
      <c r="N16" s="49"/>
      <c r="O16" s="62"/>
      <c r="P16" s="14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 x14ac:dyDescent="0.25">
      <c r="A17" s="3"/>
      <c r="B17" s="10"/>
      <c r="C17" s="72"/>
      <c r="D17" s="63"/>
      <c r="E17" s="64"/>
      <c r="F17" s="20"/>
      <c r="G17" s="72"/>
      <c r="H17" s="63"/>
      <c r="I17" s="67"/>
      <c r="J17" s="64"/>
      <c r="K17" s="20"/>
      <c r="L17" s="72"/>
      <c r="M17" s="63"/>
      <c r="N17" s="67"/>
      <c r="O17" s="64"/>
      <c r="P17" s="14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9.75" customHeight="1" x14ac:dyDescent="0.25">
      <c r="A18" s="3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 x14ac:dyDescent="0.25">
      <c r="B19" s="10"/>
      <c r="C19" s="80" t="s">
        <v>34</v>
      </c>
      <c r="D19" s="60"/>
      <c r="E19" s="74" t="str">
        <f>VLOOKUP(C10,'Formato descripción HU'!B6:O22,14,0)</f>
        <v>Generación de Proformas</v>
      </c>
      <c r="F19" s="75"/>
      <c r="G19" s="75"/>
      <c r="H19" s="75"/>
      <c r="I19" s="75"/>
      <c r="J19" s="75"/>
      <c r="K19" s="75"/>
      <c r="L19" s="75"/>
      <c r="M19" s="75"/>
      <c r="N19" s="75"/>
      <c r="O19" s="76"/>
      <c r="P19" s="14"/>
      <c r="Q19" s="3"/>
    </row>
    <row r="20" spans="1:26" ht="19.5" customHeight="1" x14ac:dyDescent="0.25">
      <c r="B20" s="10"/>
      <c r="C20" s="63"/>
      <c r="D20" s="64"/>
      <c r="E20" s="77"/>
      <c r="F20" s="78"/>
      <c r="G20" s="78"/>
      <c r="H20" s="78"/>
      <c r="I20" s="78"/>
      <c r="J20" s="78"/>
      <c r="K20" s="78"/>
      <c r="L20" s="78"/>
      <c r="M20" s="78"/>
      <c r="N20" s="78"/>
      <c r="O20" s="79"/>
      <c r="P20" s="14"/>
      <c r="Q20" s="3"/>
    </row>
    <row r="21" spans="1:26" ht="9.75" customHeight="1" x14ac:dyDescent="0.25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3"/>
    </row>
    <row r="22" spans="1:26" ht="19.5" customHeight="1" x14ac:dyDescent="0.25">
      <c r="A22" s="3"/>
      <c r="B22" s="10"/>
      <c r="C22" s="59" t="s">
        <v>35</v>
      </c>
      <c r="D22" s="60"/>
      <c r="E22" s="65" t="str">
        <f>VLOOKUP(C10,'Formato descripción HU'!B6:O22,12,0)</f>
        <v>El sistema deberá generar un PDF que incluya correctamente los datos ingresados en el formulario: información del cliente, productos seleccionados, cantidades, precios y el total de la cotización. Se verificará que el archivo pueda descargarse sin errores y que todos los valores coincidan con lo ingresado.</v>
      </c>
      <c r="F22" s="66"/>
      <c r="G22" s="66"/>
      <c r="H22" s="60"/>
      <c r="I22" s="13"/>
      <c r="J22" s="59" t="s">
        <v>13</v>
      </c>
      <c r="K22" s="60"/>
      <c r="L22" s="68">
        <f>VLOOKUP(C10,'Formato descripción HU'!B6:O22,13,0)</f>
        <v>0</v>
      </c>
      <c r="M22" s="66"/>
      <c r="N22" s="66"/>
      <c r="O22" s="60"/>
      <c r="P22" s="14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 x14ac:dyDescent="0.25">
      <c r="A23" s="3"/>
      <c r="B23" s="10"/>
      <c r="C23" s="61"/>
      <c r="D23" s="62"/>
      <c r="E23" s="61"/>
      <c r="F23" s="49"/>
      <c r="G23" s="49"/>
      <c r="H23" s="62"/>
      <c r="I23" s="13"/>
      <c r="J23" s="61"/>
      <c r="K23" s="62"/>
      <c r="L23" s="61"/>
      <c r="M23" s="49"/>
      <c r="N23" s="49"/>
      <c r="O23" s="62"/>
      <c r="P23" s="14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 x14ac:dyDescent="0.25">
      <c r="A24" s="3"/>
      <c r="B24" s="10"/>
      <c r="C24" s="63"/>
      <c r="D24" s="64"/>
      <c r="E24" s="63"/>
      <c r="F24" s="67"/>
      <c r="G24" s="67"/>
      <c r="H24" s="64"/>
      <c r="I24" s="13"/>
      <c r="J24" s="63"/>
      <c r="K24" s="64"/>
      <c r="L24" s="63"/>
      <c r="M24" s="67"/>
      <c r="N24" s="67"/>
      <c r="O24" s="64"/>
      <c r="P24" s="14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9.75" customHeight="1" x14ac:dyDescent="0.25">
      <c r="A25" s="3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 x14ac:dyDescent="0.3">
      <c r="C26" s="1"/>
      <c r="D26" s="1"/>
      <c r="E26" s="1"/>
      <c r="F26" s="2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1" x14ac:dyDescent="0.25">
      <c r="A27" s="3"/>
      <c r="B27" s="6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 x14ac:dyDescent="0.25">
      <c r="A28" s="3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 x14ac:dyDescent="0.3">
      <c r="B29" s="3"/>
      <c r="C29" s="1"/>
      <c r="D29" s="1"/>
      <c r="E29" s="1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 x14ac:dyDescent="0.25">
      <c r="B30" s="3"/>
      <c r="C30" s="24"/>
      <c r="D30" s="25"/>
      <c r="E30" s="52"/>
      <c r="F30" s="49"/>
      <c r="G30" s="25"/>
      <c r="H30" s="52"/>
      <c r="I30" s="4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 x14ac:dyDescent="0.25">
      <c r="A31" s="3"/>
      <c r="B31" s="3"/>
      <c r="C31" s="24"/>
      <c r="D31" s="26"/>
      <c r="E31" s="52"/>
      <c r="F31" s="49"/>
      <c r="G31" s="27"/>
      <c r="H31" s="52"/>
      <c r="I31" s="49"/>
      <c r="J31" s="27"/>
      <c r="K31" s="28"/>
      <c r="L31" s="28"/>
      <c r="M31" s="3"/>
      <c r="N31" s="28"/>
      <c r="O31" s="2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 x14ac:dyDescent="0.25">
      <c r="A32" s="3"/>
      <c r="B32" s="3"/>
      <c r="C32" s="29"/>
      <c r="D32" s="26"/>
      <c r="E32" s="50"/>
      <c r="F32" s="49"/>
      <c r="G32" s="27"/>
      <c r="H32" s="50"/>
      <c r="I32" s="49"/>
      <c r="J32" s="27"/>
      <c r="K32" s="28"/>
      <c r="L32" s="28"/>
      <c r="M32" s="3"/>
      <c r="N32" s="28"/>
      <c r="O32" s="28"/>
      <c r="P32" s="3"/>
    </row>
    <row r="33" spans="1:16" ht="19.5" customHeight="1" x14ac:dyDescent="0.25">
      <c r="A33" s="3"/>
      <c r="B33" s="3"/>
      <c r="C33" s="3"/>
      <c r="D33" s="26"/>
      <c r="E33" s="3"/>
      <c r="F33" s="3"/>
      <c r="G33" s="27"/>
      <c r="H33" s="27"/>
      <c r="I33" s="3"/>
      <c r="J33" s="3"/>
      <c r="K33" s="3"/>
      <c r="L33" s="3"/>
      <c r="M33" s="3"/>
      <c r="N33" s="3"/>
      <c r="O33" s="3"/>
      <c r="P33" s="3"/>
    </row>
    <row r="34" spans="1:16" ht="19.5" customHeight="1" x14ac:dyDescent="0.25">
      <c r="A34" s="3"/>
      <c r="B34" s="3"/>
      <c r="C34" s="52"/>
      <c r="D34" s="53"/>
      <c r="E34" s="49"/>
      <c r="F34" s="30"/>
      <c r="G34" s="52"/>
      <c r="H34" s="53"/>
      <c r="I34" s="49"/>
      <c r="J34" s="49"/>
      <c r="K34" s="30"/>
      <c r="L34" s="52"/>
      <c r="M34" s="57"/>
      <c r="N34" s="49"/>
      <c r="O34" s="49"/>
      <c r="P34" s="3"/>
    </row>
    <row r="35" spans="1:16" ht="19.5" customHeight="1" x14ac:dyDescent="0.25">
      <c r="A35" s="3"/>
      <c r="B35" s="3"/>
      <c r="C35" s="49"/>
      <c r="D35" s="49"/>
      <c r="E35" s="49"/>
      <c r="F35" s="30"/>
      <c r="G35" s="49"/>
      <c r="H35" s="49"/>
      <c r="I35" s="49"/>
      <c r="J35" s="49"/>
      <c r="K35" s="30"/>
      <c r="L35" s="49"/>
      <c r="M35" s="49"/>
      <c r="N35" s="49"/>
      <c r="O35" s="49"/>
      <c r="P35" s="3"/>
    </row>
    <row r="36" spans="1:16" ht="19.5" customHeight="1" x14ac:dyDescent="0.25">
      <c r="A36" s="3"/>
      <c r="B36" s="3"/>
      <c r="C36" s="49"/>
      <c r="D36" s="49"/>
      <c r="E36" s="49"/>
      <c r="F36" s="30"/>
      <c r="G36" s="49"/>
      <c r="H36" s="49"/>
      <c r="I36" s="49"/>
      <c r="J36" s="49"/>
      <c r="K36" s="30"/>
      <c r="L36" s="49"/>
      <c r="M36" s="49"/>
      <c r="N36" s="49"/>
      <c r="O36" s="49"/>
      <c r="P36" s="3"/>
    </row>
    <row r="37" spans="1:16" ht="19.5" customHeight="1" x14ac:dyDescent="0.25">
      <c r="A37" s="3"/>
      <c r="B37" s="3"/>
      <c r="C37" s="3"/>
      <c r="D37" s="3"/>
      <c r="E37" s="3"/>
      <c r="F37" s="3"/>
      <c r="G37" s="27"/>
      <c r="H37" s="27"/>
      <c r="I37" s="27"/>
      <c r="J37" s="3"/>
      <c r="K37" s="3"/>
      <c r="L37" s="3"/>
      <c r="M37" s="3"/>
      <c r="N37" s="3"/>
      <c r="O37" s="3"/>
      <c r="P37" s="3"/>
    </row>
    <row r="38" spans="1:16" ht="19.5" customHeight="1" x14ac:dyDescent="0.25">
      <c r="B38" s="3"/>
      <c r="C38" s="56"/>
      <c r="D38" s="49"/>
      <c r="E38" s="58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3"/>
    </row>
    <row r="39" spans="1:16" ht="19.5" customHeight="1" x14ac:dyDescent="0.25">
      <c r="B39" s="3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3"/>
    </row>
    <row r="40" spans="1:16" ht="19.5" customHeight="1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9.5" customHeight="1" x14ac:dyDescent="0.25">
      <c r="A41" s="3"/>
      <c r="B41" s="3"/>
      <c r="C41" s="52"/>
      <c r="D41" s="49"/>
      <c r="E41" s="55"/>
      <c r="F41" s="49"/>
      <c r="G41" s="49"/>
      <c r="H41" s="49"/>
      <c r="I41" s="3"/>
      <c r="J41" s="52"/>
      <c r="K41" s="49"/>
      <c r="L41" s="53"/>
      <c r="M41" s="49"/>
      <c r="N41" s="49"/>
      <c r="O41" s="49"/>
      <c r="P41" s="3"/>
    </row>
    <row r="42" spans="1:16" ht="19.5" customHeight="1" x14ac:dyDescent="0.25">
      <c r="A42" s="3"/>
      <c r="B42" s="3"/>
      <c r="C42" s="49"/>
      <c r="D42" s="49"/>
      <c r="E42" s="49"/>
      <c r="F42" s="49"/>
      <c r="G42" s="49"/>
      <c r="H42" s="49"/>
      <c r="I42" s="3"/>
      <c r="J42" s="49"/>
      <c r="K42" s="49"/>
      <c r="L42" s="49"/>
      <c r="M42" s="49"/>
      <c r="N42" s="49"/>
      <c r="O42" s="49"/>
      <c r="P42" s="3"/>
    </row>
    <row r="43" spans="1:16" ht="19.5" customHeight="1" x14ac:dyDescent="0.25">
      <c r="A43" s="3"/>
      <c r="B43" s="3"/>
      <c r="C43" s="49"/>
      <c r="D43" s="49"/>
      <c r="E43" s="49"/>
      <c r="F43" s="49"/>
      <c r="G43" s="49"/>
      <c r="H43" s="49"/>
      <c r="I43" s="3"/>
      <c r="J43" s="49"/>
      <c r="K43" s="49"/>
      <c r="L43" s="49"/>
      <c r="M43" s="49"/>
      <c r="N43" s="49"/>
      <c r="O43" s="49"/>
      <c r="P43" s="3"/>
    </row>
    <row r="44" spans="1:16" ht="19.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9.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9.5" customHeight="1" x14ac:dyDescent="0.4">
      <c r="A46" s="3"/>
      <c r="B46" s="54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</row>
    <row r="47" spans="1:16" ht="19.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19.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19.5" customHeight="1" x14ac:dyDescent="0.3">
      <c r="A49" s="3"/>
      <c r="B49" s="3"/>
      <c r="C49" s="31"/>
      <c r="D49" s="3"/>
      <c r="E49" s="51"/>
      <c r="F49" s="49"/>
      <c r="G49" s="3"/>
      <c r="H49" s="51"/>
      <c r="I49" s="49"/>
      <c r="J49" s="3"/>
      <c r="K49" s="3"/>
      <c r="L49" s="3"/>
      <c r="M49" s="3"/>
      <c r="N49" s="3"/>
      <c r="O49" s="3"/>
      <c r="P49" s="3"/>
    </row>
    <row r="50" spans="1:16" ht="19.5" customHeight="1" x14ac:dyDescent="0.3">
      <c r="A50" s="3"/>
      <c r="B50" s="3"/>
      <c r="C50" s="32"/>
      <c r="D50" s="3"/>
      <c r="E50" s="48"/>
      <c r="F50" s="49"/>
      <c r="G50" s="3"/>
      <c r="H50" s="50"/>
      <c r="I50" s="49"/>
      <c r="J50" s="3"/>
      <c r="K50" s="3"/>
      <c r="L50" s="3"/>
      <c r="M50" s="3"/>
      <c r="N50" s="3"/>
      <c r="O50" s="3"/>
      <c r="P50" s="3"/>
    </row>
    <row r="51" spans="1:16" ht="19.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19.5" customHeight="1" x14ac:dyDescent="0.3">
      <c r="A52" s="3"/>
      <c r="B52" s="3"/>
      <c r="C52" s="31"/>
      <c r="D52" s="3"/>
      <c r="E52" s="51"/>
      <c r="F52" s="49"/>
      <c r="G52" s="3"/>
      <c r="H52" s="51"/>
      <c r="I52" s="49"/>
      <c r="J52" s="3"/>
      <c r="K52" s="3"/>
      <c r="L52" s="3"/>
      <c r="M52" s="3"/>
      <c r="N52" s="3"/>
      <c r="O52" s="3"/>
      <c r="P52" s="3"/>
    </row>
    <row r="53" spans="1:16" ht="15.75" customHeight="1" x14ac:dyDescent="0.3">
      <c r="A53" s="3"/>
      <c r="B53" s="3"/>
      <c r="C53" s="32"/>
      <c r="D53" s="3"/>
      <c r="E53" s="48"/>
      <c r="F53" s="49"/>
      <c r="G53" s="3"/>
      <c r="H53" s="48"/>
      <c r="I53" s="49"/>
      <c r="J53" s="3"/>
      <c r="K53" s="3"/>
      <c r="L53" s="3"/>
      <c r="M53" s="3"/>
      <c r="N53" s="3"/>
      <c r="O53" s="3"/>
      <c r="P53" s="3"/>
    </row>
    <row r="54" spans="1:1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ht="15.75" customHeight="1" x14ac:dyDescent="0.25">
      <c r="A55" s="3"/>
      <c r="B55" s="3"/>
      <c r="C55" s="51"/>
      <c r="D55" s="53"/>
      <c r="E55" s="49"/>
      <c r="F55" s="3"/>
      <c r="G55" s="51"/>
      <c r="H55" s="91"/>
      <c r="I55" s="49"/>
      <c r="J55" s="49"/>
      <c r="K55" s="3"/>
      <c r="L55" s="51"/>
      <c r="M55" s="92"/>
      <c r="N55" s="49"/>
      <c r="O55" s="49"/>
      <c r="P55" s="3"/>
    </row>
    <row r="56" spans="1:16" ht="15.75" customHeight="1" x14ac:dyDescent="0.25">
      <c r="A56" s="3"/>
      <c r="B56" s="3"/>
      <c r="C56" s="49"/>
      <c r="D56" s="49"/>
      <c r="E56" s="49"/>
      <c r="F56" s="3"/>
      <c r="G56" s="49"/>
      <c r="H56" s="49"/>
      <c r="I56" s="49"/>
      <c r="J56" s="49"/>
      <c r="K56" s="3"/>
      <c r="L56" s="49"/>
      <c r="M56" s="49"/>
      <c r="N56" s="49"/>
      <c r="O56" s="49"/>
      <c r="P56" s="3"/>
    </row>
    <row r="57" spans="1:16" ht="15.75" customHeight="1" x14ac:dyDescent="0.25">
      <c r="A57" s="3"/>
      <c r="B57" s="3"/>
      <c r="C57" s="49"/>
      <c r="D57" s="49"/>
      <c r="E57" s="49"/>
      <c r="F57" s="3"/>
      <c r="G57" s="49"/>
      <c r="H57" s="49"/>
      <c r="I57" s="49"/>
      <c r="J57" s="49"/>
      <c r="K57" s="3"/>
      <c r="L57" s="49"/>
      <c r="M57" s="49"/>
      <c r="N57" s="49"/>
      <c r="O57" s="49"/>
      <c r="P57" s="3"/>
    </row>
    <row r="58" spans="1:1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5.75" customHeight="1" x14ac:dyDescent="0.25">
      <c r="A59" s="3"/>
      <c r="B59" s="3"/>
      <c r="C59" s="89"/>
      <c r="D59" s="49"/>
      <c r="E59" s="90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3"/>
    </row>
    <row r="60" spans="1:16" ht="15.75" customHeight="1" x14ac:dyDescent="0.25">
      <c r="A60" s="3"/>
      <c r="B60" s="3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3"/>
    </row>
    <row r="61" spans="1:1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ht="15.75" customHeight="1" x14ac:dyDescent="0.25">
      <c r="A62" s="3"/>
      <c r="B62" s="3"/>
      <c r="C62" s="51"/>
      <c r="D62" s="49"/>
      <c r="E62" s="93"/>
      <c r="F62" s="49"/>
      <c r="G62" s="49"/>
      <c r="H62" s="49"/>
      <c r="I62" s="3"/>
      <c r="J62" s="51"/>
      <c r="K62" s="49"/>
      <c r="L62" s="95"/>
      <c r="M62" s="49"/>
      <c r="N62" s="49"/>
      <c r="O62" s="49"/>
      <c r="P62" s="3"/>
    </row>
    <row r="63" spans="1:16" ht="15.75" customHeight="1" x14ac:dyDescent="0.25">
      <c r="A63" s="3"/>
      <c r="B63" s="3"/>
      <c r="C63" s="49"/>
      <c r="D63" s="49"/>
      <c r="E63" s="49"/>
      <c r="F63" s="49"/>
      <c r="G63" s="49"/>
      <c r="H63" s="49"/>
      <c r="I63" s="3"/>
      <c r="J63" s="49"/>
      <c r="K63" s="49"/>
      <c r="L63" s="49"/>
      <c r="M63" s="49"/>
      <c r="N63" s="49"/>
      <c r="O63" s="49"/>
      <c r="P63" s="3"/>
    </row>
    <row r="64" spans="1:16" ht="15.75" customHeight="1" x14ac:dyDescent="0.25">
      <c r="A64" s="3"/>
      <c r="B64" s="3"/>
      <c r="C64" s="49"/>
      <c r="D64" s="49"/>
      <c r="E64" s="49"/>
      <c r="F64" s="49"/>
      <c r="G64" s="49"/>
      <c r="H64" s="49"/>
      <c r="I64" s="3"/>
      <c r="J64" s="49"/>
      <c r="K64" s="49"/>
      <c r="L64" s="49"/>
      <c r="M64" s="49"/>
      <c r="N64" s="49"/>
      <c r="O64" s="49"/>
      <c r="P64" s="3"/>
    </row>
    <row r="65" spans="1:1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ht="15.75" customHeight="1" x14ac:dyDescent="0.25"/>
    <row r="67" spans="1:16" ht="9.75" customHeight="1" x14ac:dyDescent="0.4">
      <c r="A67" s="3"/>
      <c r="B67" s="54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spans="1:16" ht="27" customHeight="1" x14ac:dyDescent="0.4">
      <c r="A68" s="3"/>
      <c r="B68" s="54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spans="1:1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ht="15.75" customHeight="1" x14ac:dyDescent="0.3">
      <c r="A71" s="3"/>
      <c r="B71" s="3"/>
      <c r="C71" s="31"/>
      <c r="D71" s="3"/>
      <c r="E71" s="51"/>
      <c r="F71" s="49"/>
      <c r="G71" s="3"/>
      <c r="H71" s="51"/>
      <c r="I71" s="49"/>
      <c r="J71" s="3"/>
      <c r="K71" s="3"/>
      <c r="L71" s="3"/>
      <c r="M71" s="3"/>
      <c r="N71" s="3"/>
      <c r="O71" s="3"/>
      <c r="P71" s="3"/>
    </row>
    <row r="72" spans="1:16" ht="15.75" customHeight="1" x14ac:dyDescent="0.3">
      <c r="A72" s="3"/>
      <c r="B72" s="3"/>
      <c r="C72" s="31"/>
      <c r="D72" s="3"/>
      <c r="E72" s="51"/>
      <c r="F72" s="49"/>
      <c r="G72" s="3"/>
      <c r="H72" s="51"/>
      <c r="I72" s="49"/>
      <c r="J72" s="3"/>
      <c r="K72" s="3"/>
      <c r="L72" s="3"/>
      <c r="M72" s="3"/>
      <c r="N72" s="3"/>
      <c r="O72" s="3"/>
      <c r="P72" s="3"/>
    </row>
    <row r="73" spans="1:16" ht="15.75" customHeight="1" x14ac:dyDescent="0.3">
      <c r="A73" s="3"/>
      <c r="B73" s="3"/>
      <c r="C73" s="32"/>
      <c r="D73" s="3"/>
      <c r="E73" s="48"/>
      <c r="F73" s="49"/>
      <c r="G73" s="3"/>
      <c r="H73" s="48"/>
      <c r="I73" s="49"/>
      <c r="J73" s="3"/>
      <c r="K73" s="3"/>
      <c r="L73" s="3"/>
      <c r="M73" s="3"/>
      <c r="N73" s="3"/>
      <c r="O73" s="3"/>
      <c r="P73" s="3"/>
    </row>
    <row r="74" spans="1:1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ht="15.75" customHeight="1" x14ac:dyDescent="0.25">
      <c r="A75" s="3"/>
      <c r="B75" s="3"/>
      <c r="C75" s="51"/>
      <c r="D75" s="94"/>
      <c r="E75" s="49"/>
      <c r="F75" s="3"/>
      <c r="G75" s="51"/>
      <c r="H75" s="91"/>
      <c r="I75" s="49"/>
      <c r="J75" s="49"/>
      <c r="K75" s="3"/>
      <c r="L75" s="51"/>
      <c r="M75" s="92"/>
      <c r="N75" s="49"/>
      <c r="O75" s="49"/>
      <c r="P75" s="3"/>
    </row>
    <row r="76" spans="1:16" ht="15.75" customHeight="1" x14ac:dyDescent="0.25">
      <c r="A76" s="3"/>
      <c r="B76" s="3"/>
      <c r="C76" s="49"/>
      <c r="D76" s="49"/>
      <c r="E76" s="49"/>
      <c r="F76" s="3"/>
      <c r="G76" s="49"/>
      <c r="H76" s="49"/>
      <c r="I76" s="49"/>
      <c r="J76" s="49"/>
      <c r="K76" s="3"/>
      <c r="L76" s="49"/>
      <c r="M76" s="49"/>
      <c r="N76" s="49"/>
      <c r="O76" s="49"/>
      <c r="P76" s="3"/>
    </row>
    <row r="77" spans="1:16" ht="15.75" customHeight="1" x14ac:dyDescent="0.25">
      <c r="A77" s="3"/>
      <c r="B77" s="3"/>
      <c r="C77" s="49"/>
      <c r="D77" s="49"/>
      <c r="E77" s="49"/>
      <c r="F77" s="3"/>
      <c r="G77" s="49"/>
      <c r="H77" s="49"/>
      <c r="I77" s="49"/>
      <c r="J77" s="49"/>
      <c r="K77" s="3"/>
      <c r="L77" s="49"/>
      <c r="M77" s="49"/>
      <c r="N77" s="49"/>
      <c r="O77" s="49"/>
      <c r="P77" s="3"/>
    </row>
    <row r="78" spans="1:1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5.75" customHeight="1" x14ac:dyDescent="0.25">
      <c r="A79" s="3"/>
      <c r="B79" s="3"/>
      <c r="C79" s="89"/>
      <c r="D79" s="49"/>
      <c r="E79" s="90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3"/>
    </row>
    <row r="80" spans="1:16" ht="15.75" customHeight="1" x14ac:dyDescent="0.25">
      <c r="A80" s="3"/>
      <c r="B80" s="3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3"/>
    </row>
    <row r="81" spans="1:1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5.75" customHeight="1" x14ac:dyDescent="0.25">
      <c r="A82" s="3"/>
      <c r="B82" s="3"/>
      <c r="C82" s="51"/>
      <c r="D82" s="49"/>
      <c r="E82" s="93"/>
      <c r="F82" s="49"/>
      <c r="G82" s="49"/>
      <c r="H82" s="49"/>
      <c r="I82" s="3"/>
      <c r="J82" s="51"/>
      <c r="K82" s="49"/>
      <c r="L82" s="87"/>
      <c r="M82" s="49"/>
      <c r="N82" s="49"/>
      <c r="O82" s="49"/>
      <c r="P82" s="3"/>
    </row>
    <row r="83" spans="1:16" ht="15.75" customHeight="1" x14ac:dyDescent="0.25">
      <c r="A83" s="3"/>
      <c r="B83" s="3"/>
      <c r="C83" s="49"/>
      <c r="D83" s="49"/>
      <c r="E83" s="49"/>
      <c r="F83" s="49"/>
      <c r="G83" s="49"/>
      <c r="H83" s="49"/>
      <c r="I83" s="3"/>
      <c r="J83" s="49"/>
      <c r="K83" s="49"/>
      <c r="L83" s="49"/>
      <c r="M83" s="49"/>
      <c r="N83" s="49"/>
      <c r="O83" s="49"/>
      <c r="P83" s="3"/>
    </row>
    <row r="84" spans="1:16" ht="15.75" customHeight="1" x14ac:dyDescent="0.25">
      <c r="A84" s="3"/>
      <c r="B84" s="3"/>
      <c r="C84" s="49"/>
      <c r="D84" s="49"/>
      <c r="E84" s="49"/>
      <c r="F84" s="49"/>
      <c r="G84" s="49"/>
      <c r="H84" s="49"/>
      <c r="I84" s="3"/>
      <c r="J84" s="49"/>
      <c r="K84" s="49"/>
      <c r="L84" s="49"/>
      <c r="M84" s="49"/>
      <c r="N84" s="49"/>
      <c r="O84" s="49"/>
      <c r="P84" s="3"/>
    </row>
    <row r="85" spans="1:16" ht="15.75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ht="15.75" customHeight="1" x14ac:dyDescent="0.25">
      <c r="A86" s="3"/>
    </row>
    <row r="87" spans="1:16" ht="21" x14ac:dyDescent="0.4">
      <c r="A87" s="3"/>
      <c r="B87" s="54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</row>
    <row r="88" spans="1:1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ht="15.75" customHeight="1" x14ac:dyDescent="0.3">
      <c r="A90" s="3"/>
      <c r="B90" s="3"/>
      <c r="C90" s="31"/>
      <c r="D90" s="3"/>
      <c r="E90" s="51"/>
      <c r="F90" s="49"/>
      <c r="G90" s="3"/>
      <c r="H90" s="51"/>
      <c r="I90" s="49"/>
      <c r="J90" s="3"/>
      <c r="K90" s="3"/>
      <c r="L90" s="3"/>
      <c r="M90" s="3"/>
      <c r="N90" s="3"/>
      <c r="O90" s="3"/>
      <c r="P90" s="3"/>
    </row>
    <row r="91" spans="1:16" ht="15.75" customHeight="1" x14ac:dyDescent="0.3">
      <c r="A91" s="3"/>
      <c r="B91" s="3"/>
      <c r="C91" s="32"/>
      <c r="D91" s="3"/>
      <c r="E91" s="48"/>
      <c r="F91" s="49"/>
      <c r="G91" s="3"/>
      <c r="H91" s="48"/>
      <c r="I91" s="49"/>
      <c r="J91" s="3"/>
      <c r="K91" s="3"/>
      <c r="L91" s="3"/>
      <c r="M91" s="3"/>
      <c r="N91" s="3"/>
      <c r="O91" s="3"/>
      <c r="P91" s="3"/>
    </row>
    <row r="92" spans="1:1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15.75" customHeight="1" x14ac:dyDescent="0.25">
      <c r="A93" s="3"/>
      <c r="B93" s="3"/>
      <c r="C93" s="51"/>
      <c r="D93" s="91"/>
      <c r="E93" s="49"/>
      <c r="F93" s="3"/>
      <c r="G93" s="51"/>
      <c r="H93" s="91"/>
      <c r="I93" s="49"/>
      <c r="J93" s="49"/>
      <c r="K93" s="3"/>
      <c r="L93" s="51"/>
      <c r="M93" s="88"/>
      <c r="N93" s="49"/>
      <c r="O93" s="49"/>
      <c r="P93" s="3"/>
    </row>
    <row r="94" spans="1:16" ht="15.75" customHeight="1" x14ac:dyDescent="0.25">
      <c r="A94" s="3"/>
      <c r="B94" s="3"/>
      <c r="C94" s="49"/>
      <c r="D94" s="49"/>
      <c r="E94" s="49"/>
      <c r="F94" s="3"/>
      <c r="G94" s="49"/>
      <c r="H94" s="49"/>
      <c r="I94" s="49"/>
      <c r="J94" s="49"/>
      <c r="K94" s="3"/>
      <c r="L94" s="49"/>
      <c r="M94" s="49"/>
      <c r="N94" s="49"/>
      <c r="O94" s="49"/>
      <c r="P94" s="3"/>
    </row>
    <row r="95" spans="1:16" ht="15.75" customHeight="1" x14ac:dyDescent="0.25">
      <c r="A95" s="3"/>
      <c r="B95" s="3"/>
      <c r="C95" s="49"/>
      <c r="D95" s="49"/>
      <c r="E95" s="49"/>
      <c r="F95" s="3"/>
      <c r="G95" s="49"/>
      <c r="H95" s="49"/>
      <c r="I95" s="49"/>
      <c r="J95" s="49"/>
      <c r="K95" s="3"/>
      <c r="L95" s="49"/>
      <c r="M95" s="49"/>
      <c r="N95" s="49"/>
      <c r="O95" s="49"/>
      <c r="P95" s="3"/>
    </row>
    <row r="96" spans="1:1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ht="15.75" customHeight="1" x14ac:dyDescent="0.25">
      <c r="A97" s="3"/>
      <c r="B97" s="3"/>
      <c r="C97" s="89"/>
      <c r="D97" s="49"/>
      <c r="E97" s="90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3"/>
    </row>
    <row r="98" spans="1:16" ht="15.75" customHeight="1" x14ac:dyDescent="0.25">
      <c r="A98" s="3"/>
      <c r="B98" s="3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3"/>
    </row>
    <row r="99" spans="1:16" ht="15.75" customHeight="1" x14ac:dyDescent="0.25">
      <c r="A99" s="3"/>
      <c r="B99" s="3"/>
      <c r="C99" s="3"/>
      <c r="D99" s="3"/>
      <c r="E99" s="33"/>
      <c r="F99" s="33"/>
      <c r="G99" s="33"/>
      <c r="H99" s="33"/>
      <c r="I99" s="3"/>
      <c r="J99" s="3"/>
      <c r="K99" s="3"/>
      <c r="L99" s="3"/>
      <c r="M99" s="3"/>
      <c r="N99" s="3"/>
      <c r="O99" s="3"/>
      <c r="P99" s="3"/>
    </row>
    <row r="100" spans="1:16" ht="15.75" customHeight="1" x14ac:dyDescent="0.25">
      <c r="A100" s="3"/>
      <c r="B100" s="3"/>
      <c r="C100" s="51"/>
      <c r="D100" s="49"/>
      <c r="E100" s="86"/>
      <c r="F100" s="49"/>
      <c r="G100" s="49"/>
      <c r="H100" s="49"/>
      <c r="I100" s="3"/>
      <c r="J100" s="51"/>
      <c r="K100" s="49"/>
      <c r="L100" s="87"/>
      <c r="M100" s="49"/>
      <c r="N100" s="49"/>
      <c r="O100" s="49"/>
      <c r="P100" s="3"/>
    </row>
    <row r="101" spans="1:16" ht="15.75" customHeight="1" x14ac:dyDescent="0.25">
      <c r="A101" s="3"/>
      <c r="B101" s="3"/>
      <c r="C101" s="49"/>
      <c r="D101" s="49"/>
      <c r="E101" s="49"/>
      <c r="F101" s="49"/>
      <c r="G101" s="49"/>
      <c r="H101" s="49"/>
      <c r="I101" s="3"/>
      <c r="J101" s="49"/>
      <c r="K101" s="49"/>
      <c r="L101" s="49"/>
      <c r="M101" s="49"/>
      <c r="N101" s="49"/>
      <c r="O101" s="49"/>
      <c r="P101" s="3"/>
    </row>
    <row r="102" spans="1:16" ht="15.75" customHeight="1" x14ac:dyDescent="0.25">
      <c r="A102" s="3"/>
      <c r="B102" s="3"/>
      <c r="C102" s="49"/>
      <c r="D102" s="49"/>
      <c r="E102" s="49"/>
      <c r="F102" s="49"/>
      <c r="G102" s="49"/>
      <c r="H102" s="49"/>
      <c r="I102" s="3"/>
      <c r="J102" s="49"/>
      <c r="K102" s="49"/>
      <c r="L102" s="49"/>
      <c r="M102" s="49"/>
      <c r="N102" s="49"/>
      <c r="O102" s="49"/>
      <c r="P102" s="3"/>
    </row>
    <row r="103" spans="1:16" ht="15.75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ht="15.7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5.75" customHeight="1" x14ac:dyDescent="0.4">
      <c r="B105" s="54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</row>
    <row r="106" spans="1:16" ht="15.75" customHeight="1" x14ac:dyDescent="0.25"/>
    <row r="107" spans="1:16" ht="15.75" customHeight="1" x14ac:dyDescent="0.25"/>
    <row r="108" spans="1:16" ht="15.75" customHeight="1" x14ac:dyDescent="0.25"/>
    <row r="109" spans="1:16" ht="15.75" customHeight="1" x14ac:dyDescent="0.25"/>
    <row r="110" spans="1:16" ht="15.75" customHeight="1" x14ac:dyDescent="0.25"/>
    <row r="111" spans="1:16" ht="15.75" customHeight="1" x14ac:dyDescent="0.25"/>
    <row r="112" spans="1:1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</sheetData>
  <mergeCells count="99">
    <mergeCell ref="L55:L57"/>
    <mergeCell ref="M55:O57"/>
    <mergeCell ref="E59:O60"/>
    <mergeCell ref="C55:C57"/>
    <mergeCell ref="C59:D60"/>
    <mergeCell ref="D55:E57"/>
    <mergeCell ref="G55:G57"/>
    <mergeCell ref="H55:J57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C100:D102"/>
    <mergeCell ref="E100:H102"/>
    <mergeCell ref="J100:K102"/>
    <mergeCell ref="L100:O102"/>
    <mergeCell ref="B105:P10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  <mergeCell ref="J41:K43"/>
    <mergeCell ref="H52:I52"/>
    <mergeCell ref="H53:I53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HU'!$B$6:$B$22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Kevin Andrès Cañola Marquez</cp:lastModifiedBy>
  <dcterms:created xsi:type="dcterms:W3CDTF">2019-10-21T15:37:14Z</dcterms:created>
  <dcterms:modified xsi:type="dcterms:W3CDTF">2025-12-15T17:18:36Z</dcterms:modified>
</cp:coreProperties>
</file>