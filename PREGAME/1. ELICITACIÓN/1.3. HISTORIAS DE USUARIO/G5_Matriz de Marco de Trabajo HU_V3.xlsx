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OSTGAME/MATRIZ HU/"/>
    </mc:Choice>
  </mc:AlternateContent>
  <xr:revisionPtr revIDLastSave="5" documentId="8_{307D0FE0-0841-4761-975B-F7ADCA0D05F3}" xr6:coauthVersionLast="47" xr6:coauthVersionMax="47" xr10:uidLastSave="{D6CC5517-5097-44D9-8D1E-7AE5646BF1CC}"/>
  <bookViews>
    <workbookView xWindow="-120" yWindow="-120" windowWidth="19755" windowHeight="1176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<sst xmlns="http://schemas.openxmlformats.org/spreadsheetml/2006/main" count="91" uniqueCount="72">
  <si>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</si>
  <si>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</si>
  <si>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</si>
  <si>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</si>
  <si>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</si>
  <si>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</si>
  <si>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</si>
  <si>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</si>
  <si>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</si>
  <si>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</si>
  <si>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</si>
  <si>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</si>
  <si>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</si>
  <si>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</si>
  <si>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</si>
  <si>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</si>
  <si>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</si>
  <si>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En proceso</t>
  </si>
  <si>
    <t>REQ002</t>
  </si>
  <si>
    <t>REQ003</t>
  </si>
  <si>
    <t>REQ004</t>
  </si>
  <si>
    <t>No iniciado</t>
  </si>
  <si>
    <t>REQ005</t>
  </si>
  <si>
    <t xml:space="preserve">Media </t>
  </si>
  <si>
    <t>.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</si>
  <si>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</si>
  <si>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</si>
  <si>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</si>
  <si>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</si>
  <si>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</si>
  <si>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</si>
  <si>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</si>
  <si>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</si>
  <si>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</si>
  <si>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</si>
  <si>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</si>
  <si>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</si>
  <si>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Administrador</t>
  </si>
  <si>
    <t>Generación de Proformas</t>
  </si>
  <si>
    <t>Kevin Cañola</t>
  </si>
  <si>
    <t>Mateo Lugmaña</t>
  </si>
  <si>
    <t>Proformas de cotización</t>
  </si>
  <si>
    <t>Revision de Inventario</t>
  </si>
  <si>
    <t>El sistema deberá permitir el inicio de sesión solo para personal autorizado.</t>
  </si>
  <si>
    <t>Garantizar la seguridad del acceso al sistema.</t>
  </si>
  <si>
    <t>Mantener un control actualizado y preciso de los materiales.</t>
  </si>
  <si>
    <t>Agilizar la respuesta a clientes potenciales.</t>
  </si>
  <si>
    <t>Registro de la materia prima con sus respectivos datos.</t>
  </si>
  <si>
    <t>Se deben llenar todos los datos para tener con exactitud el registro de inventario.</t>
  </si>
  <si>
    <t>Reportes de Cotización de pedidos, destinados para los clientes.</t>
  </si>
  <si>
    <t xml:space="preserve">Generar un PDF con un informe para el cliente y el administrador donde se detalla cantidad de producto, precio y fecha de entrega. </t>
  </si>
  <si>
    <t>Descargar el PDF con todos los datos del cliente y el producto deseado por el mismo.</t>
  </si>
  <si>
    <t>Validación credenciales</t>
  </si>
  <si>
    <t>Se crea usuario y contraseña para el personal autorizado. Con las cuales se validará el ingreso, caso contrario no se le permite el ingreso.</t>
  </si>
  <si>
    <t>El usuario y contraseña deben ser correctos. Caso que no ingrese con los datos correcto se le permite 3 intentos, después se le bloqueará por 3 min.</t>
  </si>
  <si>
    <t>Registro de inventario</t>
  </si>
  <si>
    <t>Se debe ingresar la cantidad, cualidades y características exactas de la materia prima.</t>
  </si>
  <si>
    <t>Registro de cliente</t>
  </si>
  <si>
    <t>Inicio de seción</t>
  </si>
  <si>
    <t>Se requiere un apartado donde solo los administradores pueden ingresar y realizar sus tareas diarias.</t>
  </si>
  <si>
    <t>Generar un usuario y contraseña exclusivo para los administradores.</t>
  </si>
  <si>
    <t xml:space="preserve">En el apartado del administrador, este podrá registrar a sus clientes de forma más rapida y censilla. </t>
  </si>
  <si>
    <t>Esteban Tasiguano</t>
  </si>
  <si>
    <t>Cuando se registre a un cliente, debe llenar todos los campos necesarios y requeridos, caso contrario no le permitirá completar la acción.</t>
  </si>
  <si>
    <t>Registro de clientes</t>
  </si>
  <si>
    <t>Retrasos en entregas y pagos</t>
  </si>
  <si>
    <t>Se necesita recordar al administrador fechas próximas de entrega de pedidos y vencimiento de pagos de los clientes.</t>
  </si>
  <si>
    <t>Evitar incumplimientos, retrasos y mejorar la planificación y atención al cliente.</t>
  </si>
  <si>
    <t>El sistema generará alertas automáticas y visibles en el panel principal indicando pedidos próximos a entregar y fechas de pagos cercanas.</t>
  </si>
  <si>
    <t>Se comprobará que, al acercarse la fecha configurada, el sistema muestre notificaciones antes del vencimiento.</t>
  </si>
  <si>
    <t>Notificaciones y Recordatorios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</si>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</sst>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sz val="11"/>
      <color theme="1"/>
      <name val="Arial Narrow"/>
      <family val="2"/>
    </font>
    <font>
      <sz val="11"/>
      <name val="Arial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6"/>
      <color theme="1"/>
      <name val="Arial Narrow"/>
      <family val="2"/>
    </font>
    <font>
      <sz val="11"/>
      <color rgb="FF9C650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6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5" fillId="5" borderId="6" xfId="0" applyFont="1" applyFill="1" applyBorder="1"/>
    <xf numFmtId="0" fontId="6" fillId="5" borderId="7" xfId="0" applyFont="1" applyFill="1" applyBorder="1" applyAlignment="1">
      <alignment horizontal="left" vertical="center" wrapText="1"/>
    </xf>
    <xf numFmtId="0" fontId="7" fillId="5" borderId="7" xfId="0" applyFont="1" applyFill="1" applyBorder="1"/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9" fillId="6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/>
    </xf>
    <xf numFmtId="0" fontId="5" fillId="5" borderId="5" xfId="0" applyFont="1" applyFill="1" applyBorder="1"/>
    <xf numFmtId="0" fontId="5" fillId="5" borderId="10" xfId="0" applyFont="1" applyFill="1" applyBorder="1"/>
    <xf numFmtId="0" fontId="11" fillId="3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28" xfId="0" applyFont="1" applyFill="1" applyBorder="1"/>
    <xf numFmtId="0" fontId="5" fillId="5" borderId="29" xfId="0" applyFont="1" applyFill="1" applyBorder="1"/>
    <xf numFmtId="0" fontId="5" fillId="5" borderId="30" xfId="0" applyFont="1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5" fillId="0" borderId="0" xfId="0" applyNumberFormat="1" applyFont="1"/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9" fillId="3" borderId="31" xfId="0" applyFont="1" applyFill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164" fontId="19" fillId="3" borderId="31" xfId="0" applyNumberFormat="1" applyFont="1" applyFill="1" applyBorder="1" applyAlignment="1">
      <alignment horizontal="center" vertical="center" wrapText="1"/>
    </xf>
    <xf numFmtId="0" fontId="19" fillId="4" borderId="31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14" fontId="3" fillId="0" borderId="31" xfId="0" applyNumberFormat="1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165" fontId="19" fillId="3" borderId="5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4" borderId="5" xfId="0" applyFont="1" applyFill="1" applyBorder="1" applyAlignment="1">
      <alignment horizontal="center" vertical="center" wrapText="1"/>
    </xf>
    <xf numFmtId="0" fontId="22" fillId="2" borderId="31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0" fillId="0" borderId="0" xfId="0"/>
    <xf numFmtId="0" fontId="7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49" fontId="13" fillId="0" borderId="0" xfId="0" applyNumberFormat="1" applyFont="1" applyAlignment="1">
      <alignment wrapText="1"/>
    </xf>
    <xf numFmtId="0" fontId="7" fillId="0" borderId="0" xfId="0" applyFont="1" applyAlignment="1">
      <alignment horizontal="center"/>
    </xf>
    <xf numFmtId="0" fontId="5" fillId="0" borderId="0" xfId="0" applyFont="1"/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wrapText="1"/>
    </xf>
    <xf numFmtId="49" fontId="7" fillId="0" borderId="0" xfId="0" applyNumberFormat="1" applyFont="1" applyAlignment="1">
      <alignment wrapText="1"/>
    </xf>
    <xf numFmtId="0" fontId="8" fillId="5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9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wrapText="1"/>
    </xf>
    <xf numFmtId="0" fontId="4" fillId="0" borderId="13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9" xfId="0" applyFont="1" applyBorder="1"/>
    <xf numFmtId="0" fontId="4" fillId="0" borderId="20" xfId="0" applyFont="1" applyBorder="1"/>
    <xf numFmtId="0" fontId="9" fillId="7" borderId="11" xfId="0" applyFont="1" applyFill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4" fillId="0" borderId="14" xfId="0" applyFont="1" applyBorder="1"/>
    <xf numFmtId="0" fontId="4" fillId="0" borderId="21" xfId="0" applyFont="1" applyBorder="1"/>
    <xf numFmtId="0" fontId="7" fillId="3" borderId="12" xfId="0" applyFont="1" applyFill="1" applyBorder="1" applyAlignment="1">
      <alignment horizontal="left" vertical="center"/>
    </xf>
    <xf numFmtId="0" fontId="11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12" fillId="8" borderId="12" xfId="0" applyFont="1" applyFill="1" applyBorder="1" applyAlignment="1">
      <alignment horizontal="center" vertical="center"/>
    </xf>
    <xf numFmtId="0" fontId="9" fillId="6" borderId="12" xfId="0" applyFont="1" applyFill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left" vertical="center" wrapText="1"/>
    </xf>
    <xf numFmtId="0" fontId="1" fillId="0" borderId="31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2"/>
  <sheetViews>
    <sheetView showGridLines="0" tabSelected="1" topLeftCell="A6" zoomScale="70" zoomScaleNormal="70" workbookViewId="0">
      <selection activeCell="H7" sqref="H7"/>
    </sheetView>
  </sheetViews>
  <sheetFormatPr baseColWidth="10" defaultColWidth="12.625" defaultRowHeight="134.25" customHeight="1" x14ac:dyDescent="0.2"/>
  <cols>
    <col min="1" max="1" width="4.625" style="35" customWidth="1"/>
    <col min="2" max="2" width="6.625" style="35" customWidth="1"/>
    <col min="3" max="3" width="25.25" style="35" customWidth="1"/>
    <col min="4" max="4" width="31.125" style="35" customWidth="1"/>
    <col min="5" max="5" width="20.625" style="35" customWidth="1"/>
    <col min="6" max="6" width="13.125" style="35" customWidth="1"/>
    <col min="7" max="7" width="39.75" style="35" customWidth="1"/>
    <col min="8" max="12" width="10.625" style="35" customWidth="1"/>
    <col min="13" max="13" width="32.75" style="35" customWidth="1"/>
    <col min="14" max="15" width="20.625" style="35" customWidth="1"/>
    <col min="16" max="26" width="9.375" style="35" customWidth="1"/>
    <col min="27" max="16384" width="12.625" style="35"/>
  </cols>
  <sheetData>
    <row r="1" spans="1:26" ht="134.25" customHeight="1" x14ac:dyDescent="0.2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134.25" customHeight="1" x14ac:dyDescent="0.2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4.25" customHeight="1" x14ac:dyDescent="0.2">
      <c r="A3" s="34"/>
      <c r="B3" s="50" t="s">
        <v>0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2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34.25" customHeight="1" x14ac:dyDescent="0.2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34.25" customHeight="1" x14ac:dyDescent="0.2">
      <c r="A5" s="34"/>
      <c r="B5" s="48" t="s">
        <v>1</v>
      </c>
      <c r="C5" s="48" t="s">
        <v>2</v>
      </c>
      <c r="D5" s="48" t="s">
        <v>3</v>
      </c>
      <c r="E5" s="48" t="s">
        <v>4</v>
      </c>
      <c r="F5" s="48" t="s">
        <v>5</v>
      </c>
      <c r="G5" s="48" t="s">
        <v>6</v>
      </c>
      <c r="H5" s="48" t="s">
        <v>7</v>
      </c>
      <c r="I5" s="48" t="s">
        <v>8</v>
      </c>
      <c r="J5" s="48" t="s">
        <v>9</v>
      </c>
      <c r="K5" s="48" t="s">
        <v>10</v>
      </c>
      <c r="L5" s="48" t="s">
        <v>11</v>
      </c>
      <c r="M5" s="48" t="s">
        <v>12</v>
      </c>
      <c r="N5" s="48" t="s">
        <v>13</v>
      </c>
      <c r="O5" s="48" t="s">
        <v>14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34.25" customHeight="1" x14ac:dyDescent="0.2">
      <c r="A6" s="36"/>
      <c r="B6" s="37" t="s">
        <v>15</v>
      </c>
      <c r="C6" s="37" t="s">
        <v>58</v>
      </c>
      <c r="D6" s="38" t="s">
        <v>59</v>
      </c>
      <c r="E6" s="37" t="s">
        <v>60</v>
      </c>
      <c r="F6" s="37" t="s">
        <v>37</v>
      </c>
      <c r="G6" s="37" t="s">
        <v>53</v>
      </c>
      <c r="H6" s="37" t="s">
        <v>62</v>
      </c>
      <c r="I6" s="37">
        <v>8</v>
      </c>
      <c r="J6" s="39">
        <v>45991</v>
      </c>
      <c r="K6" s="37" t="s">
        <v>16</v>
      </c>
      <c r="L6" s="37" t="s">
        <v>21</v>
      </c>
      <c r="M6" s="38" t="s">
        <v>54</v>
      </c>
      <c r="N6" s="37"/>
      <c r="O6" s="40" t="s">
        <v>52</v>
      </c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34.25" customHeight="1" x14ac:dyDescent="0.2">
      <c r="A7" s="36"/>
      <c r="B7" s="37" t="s">
        <v>18</v>
      </c>
      <c r="C7" s="37" t="s">
        <v>57</v>
      </c>
      <c r="D7" s="38" t="s">
        <v>43</v>
      </c>
      <c r="E7" s="37" t="s">
        <v>44</v>
      </c>
      <c r="F7" s="37" t="s">
        <v>37</v>
      </c>
      <c r="G7" s="37" t="s">
        <v>61</v>
      </c>
      <c r="H7" s="37"/>
      <c r="I7" s="37">
        <v>8</v>
      </c>
      <c r="J7" s="39">
        <v>45991</v>
      </c>
      <c r="K7" s="37" t="s">
        <v>16</v>
      </c>
      <c r="L7" s="37" t="s">
        <v>21</v>
      </c>
      <c r="M7" s="38" t="s">
        <v>63</v>
      </c>
      <c r="N7" s="37"/>
      <c r="O7" s="40" t="s">
        <v>64</v>
      </c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34.25" customHeight="1" x14ac:dyDescent="0.2">
      <c r="A8" s="36"/>
      <c r="B8" s="37" t="s">
        <v>19</v>
      </c>
      <c r="C8" s="37" t="s">
        <v>41</v>
      </c>
      <c r="D8" s="37" t="s">
        <v>49</v>
      </c>
      <c r="E8" s="38" t="s">
        <v>46</v>
      </c>
      <c r="F8" s="37" t="s">
        <v>37</v>
      </c>
      <c r="G8" s="38" t="s">
        <v>50</v>
      </c>
      <c r="H8" s="37" t="s">
        <v>71</v>
      </c>
      <c r="I8" s="37">
        <v>12</v>
      </c>
      <c r="J8" s="39">
        <v>45991</v>
      </c>
      <c r="K8" s="37" t="s">
        <v>16</v>
      </c>
      <c r="L8" s="37" t="s">
        <v>21</v>
      </c>
      <c r="M8" s="38" t="s">
        <v>51</v>
      </c>
      <c r="N8" s="37"/>
      <c r="O8" s="40" t="s">
        <v>38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34.25" customHeight="1" x14ac:dyDescent="0.2">
      <c r="A9" s="36"/>
      <c r="B9" s="37" t="s">
        <v>20</v>
      </c>
      <c r="C9" s="37" t="s">
        <v>42</v>
      </c>
      <c r="D9" s="38" t="s">
        <v>47</v>
      </c>
      <c r="E9" s="38" t="s">
        <v>45</v>
      </c>
      <c r="F9" s="37" t="s">
        <v>37</v>
      </c>
      <c r="G9" s="38" t="s">
        <v>56</v>
      </c>
      <c r="H9" s="37" t="s">
        <v>40</v>
      </c>
      <c r="I9" s="37">
        <v>8</v>
      </c>
      <c r="J9" s="39">
        <v>45991</v>
      </c>
      <c r="K9" s="37" t="s">
        <v>16</v>
      </c>
      <c r="L9" s="37" t="s">
        <v>21</v>
      </c>
      <c r="M9" s="38" t="s">
        <v>48</v>
      </c>
      <c r="N9" s="37"/>
      <c r="O9" s="40" t="s">
        <v>55</v>
      </c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34.25" customHeight="1" x14ac:dyDescent="0.2">
      <c r="A10" s="36"/>
      <c r="B10" s="37" t="s">
        <v>22</v>
      </c>
      <c r="C10" s="38" t="s">
        <v>65</v>
      </c>
      <c r="D10" s="38" t="s">
        <v>66</v>
      </c>
      <c r="E10" s="38" t="s">
        <v>67</v>
      </c>
      <c r="F10" s="38" t="s">
        <v>37</v>
      </c>
      <c r="G10" s="38" t="s">
        <v>68</v>
      </c>
      <c r="H10" s="101" t="s">
        <v>39</v>
      </c>
      <c r="I10" s="38">
        <v>10</v>
      </c>
      <c r="J10" s="42">
        <v>45991</v>
      </c>
      <c r="K10" s="38" t="s">
        <v>16</v>
      </c>
      <c r="L10" s="38" t="s">
        <v>21</v>
      </c>
      <c r="M10" s="38" t="s">
        <v>69</v>
      </c>
      <c r="N10" s="38"/>
      <c r="O10" s="49" t="s">
        <v>70</v>
      </c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34.25" customHeight="1" x14ac:dyDescent="0.2">
      <c r="A11" s="36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</row>
    <row r="12" spans="1:26" ht="134.25" customHeight="1" x14ac:dyDescent="0.2">
      <c r="A12" s="36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</row>
    <row r="13" spans="1:26" ht="134.25" customHeight="1" x14ac:dyDescent="0.2">
      <c r="A13" s="36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34.2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34.2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34.2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34.25" customHeight="1" x14ac:dyDescent="0.2">
      <c r="A17" s="36"/>
      <c r="B17" s="43"/>
      <c r="C17" s="43"/>
      <c r="D17" s="43"/>
      <c r="E17" s="36"/>
      <c r="F17" s="43"/>
      <c r="G17" s="43"/>
      <c r="H17" s="43"/>
      <c r="I17" s="43"/>
      <c r="J17" s="44"/>
      <c r="K17" s="43"/>
      <c r="L17" s="43"/>
      <c r="M17" s="43"/>
      <c r="N17" s="43"/>
      <c r="O17" s="45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34.25" customHeight="1" x14ac:dyDescent="0.2">
      <c r="A18" s="36"/>
      <c r="B18" s="43"/>
      <c r="C18" s="43"/>
      <c r="D18" s="43"/>
      <c r="E18" s="43"/>
      <c r="F18" s="43"/>
      <c r="G18" s="43"/>
      <c r="H18" s="43"/>
      <c r="I18" s="43"/>
      <c r="J18" s="44"/>
      <c r="K18" s="43"/>
      <c r="L18" s="43"/>
      <c r="M18" s="43"/>
      <c r="N18" s="46"/>
      <c r="O18" s="45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34.25" customHeight="1" x14ac:dyDescent="0.2">
      <c r="A19" s="36"/>
      <c r="B19" s="43"/>
      <c r="C19" s="43"/>
      <c r="D19" s="43"/>
      <c r="E19" s="36"/>
      <c r="F19" s="43"/>
      <c r="G19" s="43"/>
      <c r="H19" s="43"/>
      <c r="I19" s="43"/>
      <c r="J19" s="44"/>
      <c r="K19" s="43"/>
      <c r="L19" s="43"/>
      <c r="M19" s="43"/>
      <c r="N19" s="43"/>
      <c r="O19" s="45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34.25" customHeight="1" x14ac:dyDescent="0.2">
      <c r="A20" s="36"/>
      <c r="B20" s="43"/>
      <c r="C20" s="43"/>
      <c r="D20" s="43"/>
      <c r="E20" s="43"/>
      <c r="F20" s="43"/>
      <c r="G20" s="43"/>
      <c r="H20" s="43"/>
      <c r="I20" s="43"/>
      <c r="J20" s="44"/>
      <c r="K20" s="43"/>
      <c r="L20" s="43"/>
      <c r="M20" s="46"/>
      <c r="N20" s="43"/>
      <c r="O20" s="45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34.25" customHeight="1" x14ac:dyDescent="0.2">
      <c r="A21" s="36"/>
      <c r="B21" s="43"/>
      <c r="C21" s="43"/>
      <c r="D21" s="43"/>
      <c r="E21" s="43"/>
      <c r="F21" s="43"/>
      <c r="G21" s="43"/>
      <c r="H21" s="43"/>
      <c r="I21" s="43"/>
      <c r="J21" s="44"/>
      <c r="K21" s="43"/>
      <c r="L21" s="43"/>
      <c r="M21" s="43" t="s">
        <v>24</v>
      </c>
      <c r="N21" s="43"/>
      <c r="O21" s="47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34.2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34.2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34.25" customHeight="1" x14ac:dyDescent="0.2">
      <c r="A24" s="36"/>
      <c r="B24" s="36"/>
      <c r="C24" s="36"/>
      <c r="D24" s="36"/>
      <c r="E24" s="36"/>
      <c r="F24" s="36"/>
      <c r="G24" s="36"/>
      <c r="H24" s="46"/>
      <c r="I24" s="36"/>
      <c r="J24" s="36"/>
      <c r="K24" s="36"/>
      <c r="L24" s="36"/>
      <c r="M24" s="36"/>
      <c r="N24" s="36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34.2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34.2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46"/>
      <c r="L26" s="36"/>
      <c r="M26" s="36"/>
      <c r="N26" s="36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34.2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46"/>
      <c r="L27" s="36"/>
      <c r="M27" s="36"/>
      <c r="N27" s="36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34.2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34.2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34.2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34.2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 t="s">
        <v>16</v>
      </c>
      <c r="L31" s="36" t="s">
        <v>21</v>
      </c>
      <c r="M31" s="36"/>
      <c r="N31" s="36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34.2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 t="s">
        <v>23</v>
      </c>
      <c r="L32" s="36" t="s">
        <v>17</v>
      </c>
      <c r="M32" s="36"/>
      <c r="N32" s="36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34.2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 t="s">
        <v>25</v>
      </c>
      <c r="L33" s="36" t="s">
        <v>26</v>
      </c>
      <c r="M33" s="36"/>
      <c r="N33" s="36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34.2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 t="s">
        <v>27</v>
      </c>
      <c r="M34" s="36"/>
      <c r="N34" s="36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34.2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34.2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34.2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34.2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34.2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34.2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34.2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34.2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34.2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34.2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34.2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34.2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34.2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34.2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34.2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34.2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34.2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34.2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34.2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34.2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34.2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34.2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34.2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34.2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34.2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34.2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34.2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34.2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34.2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34.2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34.2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34.2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34.2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34.2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34.2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34.2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34.2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34.2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34.2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34.2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34.2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34.2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34.2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34.2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34.2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34.2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34.2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34.2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34.2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34.2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34.2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34.2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34.2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34.2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34.2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34.2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34.2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34.2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34.2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34.2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34.2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34.2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34.2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34.2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34.2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34.2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34.25" customHeight="1" x14ac:dyDescent="0.2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34.25" customHeight="1" x14ac:dyDescent="0.2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34.25" customHeight="1" x14ac:dyDescent="0.2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34.25" customHeight="1" x14ac:dyDescent="0.2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34.25" customHeight="1" x14ac:dyDescent="0.2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34.25" customHeight="1" x14ac:dyDescent="0.2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34.25" customHeight="1" x14ac:dyDescent="0.2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34.25" customHeight="1" x14ac:dyDescent="0.2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34.25" customHeight="1" x14ac:dyDescent="0.2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34.25" customHeight="1" x14ac:dyDescent="0.2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34.25" customHeight="1" x14ac:dyDescent="0.2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34.25" customHeight="1" x14ac:dyDescent="0.2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34.25" customHeight="1" x14ac:dyDescent="0.2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34.25" customHeight="1" x14ac:dyDescent="0.2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34.25" customHeight="1" x14ac:dyDescent="0.2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34.25" customHeight="1" x14ac:dyDescent="0.2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34.25" customHeight="1" x14ac:dyDescent="0.2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34.25" customHeight="1" x14ac:dyDescent="0.2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34.25" customHeight="1" x14ac:dyDescent="0.2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34.25" customHeight="1" x14ac:dyDescent="0.2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34.25" customHeight="1" x14ac:dyDescent="0.2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34.25" customHeight="1" x14ac:dyDescent="0.2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34.25" customHeight="1" x14ac:dyDescent="0.2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34.25" customHeight="1" x14ac:dyDescent="0.2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34.25" customHeight="1" x14ac:dyDescent="0.2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34.25" customHeight="1" x14ac:dyDescent="0.2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34.25" customHeight="1" x14ac:dyDescent="0.2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34.25" customHeight="1" x14ac:dyDescent="0.2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34.25" customHeight="1" x14ac:dyDescent="0.2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34.25" customHeight="1" x14ac:dyDescent="0.2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34.25" customHeight="1" x14ac:dyDescent="0.2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34.25" customHeight="1" x14ac:dyDescent="0.2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34.25" customHeight="1" x14ac:dyDescent="0.2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34.25" customHeight="1" x14ac:dyDescent="0.2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34.25" customHeight="1" x14ac:dyDescent="0.2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34.25" customHeight="1" x14ac:dyDescent="0.2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34.25" customHeight="1" x14ac:dyDescent="0.2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34.25" customHeight="1" x14ac:dyDescent="0.2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34.25" customHeight="1" x14ac:dyDescent="0.2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34.25" customHeight="1" x14ac:dyDescent="0.2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34.25" customHeight="1" x14ac:dyDescent="0.2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34.25" customHeight="1" x14ac:dyDescent="0.2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34.25" customHeight="1" x14ac:dyDescent="0.2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34.25" customHeight="1" x14ac:dyDescent="0.2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34.25" customHeight="1" x14ac:dyDescent="0.2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34.25" customHeight="1" x14ac:dyDescent="0.2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34.25" customHeight="1" x14ac:dyDescent="0.2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34.25" customHeight="1" x14ac:dyDescent="0.2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4.25" customHeight="1" x14ac:dyDescent="0.2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4.25" customHeight="1" x14ac:dyDescent="0.2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4.25" customHeight="1" x14ac:dyDescent="0.2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4.25" customHeight="1" x14ac:dyDescent="0.2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4.25" customHeight="1" x14ac:dyDescent="0.2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4.25" customHeight="1" x14ac:dyDescent="0.2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4.25" customHeight="1" x14ac:dyDescent="0.2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4.25" customHeight="1" x14ac:dyDescent="0.2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34.25" customHeight="1" x14ac:dyDescent="0.2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34.25" customHeight="1" x14ac:dyDescent="0.2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34.25" customHeight="1" x14ac:dyDescent="0.2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34.25" customHeight="1" x14ac:dyDescent="0.2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34.25" customHeight="1" x14ac:dyDescent="0.2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34.25" customHeight="1" x14ac:dyDescent="0.2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34.25" customHeight="1" x14ac:dyDescent="0.2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34.25" customHeight="1" x14ac:dyDescent="0.2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34.25" customHeight="1" x14ac:dyDescent="0.2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34.25" customHeight="1" x14ac:dyDescent="0.2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34.25" customHeight="1" x14ac:dyDescent="0.2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34.25" customHeight="1" x14ac:dyDescent="0.2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34.25" customHeight="1" x14ac:dyDescent="0.2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34.25" customHeight="1" x14ac:dyDescent="0.2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34.25" customHeight="1" x14ac:dyDescent="0.2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34.25" customHeight="1" x14ac:dyDescent="0.2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34.25" customHeight="1" x14ac:dyDescent="0.2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34.25" customHeight="1" x14ac:dyDescent="0.2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34.25" customHeight="1" x14ac:dyDescent="0.2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34.25" customHeight="1" x14ac:dyDescent="0.2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34.25" customHeight="1" x14ac:dyDescent="0.2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34.25" customHeight="1" x14ac:dyDescent="0.2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34.25" customHeight="1" x14ac:dyDescent="0.2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34.25" customHeight="1" x14ac:dyDescent="0.2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34.25" customHeight="1" x14ac:dyDescent="0.2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34.25" customHeight="1" x14ac:dyDescent="0.2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34.25" customHeight="1" x14ac:dyDescent="0.2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34.25" customHeight="1" x14ac:dyDescent="0.2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34.25" customHeight="1" x14ac:dyDescent="0.2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34.25" customHeight="1" x14ac:dyDescent="0.2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34.25" customHeight="1" x14ac:dyDescent="0.2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34.25" customHeight="1" x14ac:dyDescent="0.2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34.25" customHeight="1" x14ac:dyDescent="0.2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34.25" customHeight="1" x14ac:dyDescent="0.2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34.25" customHeight="1" x14ac:dyDescent="0.2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34.25" customHeight="1" x14ac:dyDescent="0.2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34.25" customHeight="1" x14ac:dyDescent="0.2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34.25" customHeight="1" x14ac:dyDescent="0.2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34.25" customHeight="1" x14ac:dyDescent="0.2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34.25" customHeight="1" x14ac:dyDescent="0.2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34.25" customHeight="1" x14ac:dyDescent="0.2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34.25" customHeight="1" x14ac:dyDescent="0.2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34.25" customHeight="1" x14ac:dyDescent="0.2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34.25" customHeight="1" x14ac:dyDescent="0.2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34.25" customHeight="1" x14ac:dyDescent="0.2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34.25" customHeight="1" x14ac:dyDescent="0.2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34.25" customHeight="1" x14ac:dyDescent="0.2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34.25" customHeight="1" x14ac:dyDescent="0.2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34.25" customHeight="1" x14ac:dyDescent="0.2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34.25" customHeight="1" x14ac:dyDescent="0.2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34.25" customHeight="1" x14ac:dyDescent="0.2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34.25" customHeight="1" x14ac:dyDescent="0.2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34.25" customHeight="1" x14ac:dyDescent="0.2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34.25" customHeight="1" x14ac:dyDescent="0.2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34.25" customHeight="1" x14ac:dyDescent="0.2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34.25" customHeight="1" x14ac:dyDescent="0.2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34.25" customHeight="1" x14ac:dyDescent="0.2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34.25" customHeight="1" x14ac:dyDescent="0.2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34.25" customHeight="1" x14ac:dyDescent="0.2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34.25" customHeight="1" x14ac:dyDescent="0.2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34.25" customHeight="1" x14ac:dyDescent="0.2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34.25" customHeight="1" x14ac:dyDescent="0.2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34.25" customHeight="1" x14ac:dyDescent="0.2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34.25" customHeight="1" x14ac:dyDescent="0.2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34.25" customHeight="1" x14ac:dyDescent="0.2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34.25" customHeight="1" x14ac:dyDescent="0.2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34.25" customHeight="1" x14ac:dyDescent="0.2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34.25" customHeight="1" x14ac:dyDescent="0.2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34.25" customHeight="1" x14ac:dyDescent="0.2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34.25" customHeight="1" x14ac:dyDescent="0.2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34.25" customHeight="1" x14ac:dyDescent="0.2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34.25" customHeight="1" x14ac:dyDescent="0.2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34.25" customHeight="1" x14ac:dyDescent="0.2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34.25" customHeight="1" x14ac:dyDescent="0.2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34.25" customHeight="1" x14ac:dyDescent="0.2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34.25" customHeight="1" x14ac:dyDescent="0.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34.25" customHeight="1" x14ac:dyDescent="0.2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34.25" customHeight="1" x14ac:dyDescent="0.2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34.25" customHeight="1" x14ac:dyDescent="0.2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34.25" customHeight="1" x14ac:dyDescent="0.2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34.25" customHeight="1" x14ac:dyDescent="0.2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34.25" customHeight="1" x14ac:dyDescent="0.2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34.25" customHeight="1" x14ac:dyDescent="0.2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34.25" customHeight="1" x14ac:dyDescent="0.2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34.25" customHeight="1" x14ac:dyDescent="0.2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34.25" customHeight="1" x14ac:dyDescent="0.2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34.25" customHeight="1" x14ac:dyDescent="0.2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34.25" customHeight="1" x14ac:dyDescent="0.2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34.25" customHeight="1" x14ac:dyDescent="0.2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34.25" customHeight="1" x14ac:dyDescent="0.2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34.25" customHeight="1" x14ac:dyDescent="0.2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34.25" customHeight="1" x14ac:dyDescent="0.2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34.25" customHeight="1" x14ac:dyDescent="0.2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34.25" customHeight="1" x14ac:dyDescent="0.2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34.25" customHeight="1" x14ac:dyDescent="0.2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 spans="1:26" ht="134.25" customHeight="1" x14ac:dyDescent="0.2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 spans="1:26" ht="134.25" customHeight="1" x14ac:dyDescent="0.2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 spans="1:26" ht="134.25" customHeight="1" x14ac:dyDescent="0.2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 spans="1:26" ht="134.25" customHeight="1" x14ac:dyDescent="0.2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 spans="1:26" ht="134.25" customHeight="1" x14ac:dyDescent="0.2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 spans="1:26" ht="134.25" customHeight="1" x14ac:dyDescent="0.2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 spans="1:26" ht="134.25" customHeight="1" x14ac:dyDescent="0.2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 spans="1:26" ht="134.25" customHeight="1" x14ac:dyDescent="0.2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 spans="1:26" ht="134.25" customHeight="1" x14ac:dyDescent="0.2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 spans="1:26" ht="134.25" customHeight="1" x14ac:dyDescent="0.2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 spans="1:26" ht="134.25" customHeight="1" x14ac:dyDescent="0.2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 spans="1:26" ht="134.25" customHeight="1" x14ac:dyDescent="0.2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 spans="1:26" ht="134.25" customHeight="1" x14ac:dyDescent="0.2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 spans="1:26" ht="134.25" customHeight="1" x14ac:dyDescent="0.2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 spans="1:26" ht="134.25" customHeight="1" x14ac:dyDescent="0.2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 spans="1:26" ht="134.25" customHeight="1" x14ac:dyDescent="0.2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 spans="1:26" ht="134.25" customHeight="1" x14ac:dyDescent="0.2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 spans="1:26" ht="134.25" customHeight="1" x14ac:dyDescent="0.2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 spans="1:26" ht="134.25" customHeight="1" x14ac:dyDescent="0.2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 spans="1:26" ht="134.25" customHeight="1" x14ac:dyDescent="0.2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 spans="1:26" ht="134.25" customHeight="1" x14ac:dyDescent="0.2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 spans="1:26" ht="134.25" customHeight="1" x14ac:dyDescent="0.2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 spans="1:26" ht="134.25" customHeight="1" x14ac:dyDescent="0.2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 spans="1:26" ht="134.25" customHeight="1" x14ac:dyDescent="0.2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 spans="1:26" ht="134.25" customHeight="1" x14ac:dyDescent="0.2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 spans="1:26" ht="134.25" customHeight="1" x14ac:dyDescent="0.2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 spans="1:26" ht="134.25" customHeight="1" x14ac:dyDescent="0.2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 spans="1:26" ht="134.25" customHeight="1" x14ac:dyDescent="0.2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 spans="1:26" ht="134.25" customHeight="1" x14ac:dyDescent="0.2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 spans="1:26" ht="134.25" customHeight="1" x14ac:dyDescent="0.2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 spans="1:26" ht="134.25" customHeight="1" x14ac:dyDescent="0.2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 spans="1:26" ht="134.25" customHeight="1" x14ac:dyDescent="0.2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 spans="1:26" ht="134.25" customHeight="1" x14ac:dyDescent="0.2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 spans="1:26" ht="134.25" customHeight="1" x14ac:dyDescent="0.2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 spans="1:26" ht="134.25" customHeight="1" x14ac:dyDescent="0.2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 spans="1:26" ht="134.25" customHeight="1" x14ac:dyDescent="0.2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 spans="1:26" ht="134.25" customHeight="1" x14ac:dyDescent="0.2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 spans="1:26" ht="134.25" customHeight="1" x14ac:dyDescent="0.2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 spans="1:26" ht="134.25" customHeight="1" x14ac:dyDescent="0.2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 spans="1:26" ht="134.25" customHeight="1" x14ac:dyDescent="0.2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 spans="1:26" ht="134.25" customHeight="1" x14ac:dyDescent="0.2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 spans="1:26" ht="134.25" customHeight="1" x14ac:dyDescent="0.2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 spans="1:26" ht="134.25" customHeight="1" x14ac:dyDescent="0.2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 spans="1:26" ht="134.25" customHeight="1" x14ac:dyDescent="0.2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 spans="1:26" ht="134.25" customHeight="1" x14ac:dyDescent="0.2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 spans="1:26" ht="134.25" customHeight="1" x14ac:dyDescent="0.2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 spans="1:26" ht="134.25" customHeight="1" x14ac:dyDescent="0.2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 spans="1:26" ht="134.25" customHeight="1" x14ac:dyDescent="0.2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 spans="1:26" ht="134.25" customHeight="1" x14ac:dyDescent="0.2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 spans="1:26" ht="134.25" customHeight="1" x14ac:dyDescent="0.2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 spans="1:26" ht="134.25" customHeight="1" x14ac:dyDescent="0.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 spans="1:26" ht="134.25" customHeight="1" x14ac:dyDescent="0.2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 spans="1:26" ht="134.25" customHeight="1" x14ac:dyDescent="0.2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 spans="1:26" ht="134.25" customHeight="1" x14ac:dyDescent="0.2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 spans="1:26" ht="134.25" customHeight="1" x14ac:dyDescent="0.2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 spans="1:26" ht="134.25" customHeight="1" x14ac:dyDescent="0.2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 spans="1:26" ht="134.25" customHeight="1" x14ac:dyDescent="0.2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 spans="1:26" ht="134.25" customHeight="1" x14ac:dyDescent="0.2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 spans="1:26" ht="134.25" customHeight="1" x14ac:dyDescent="0.2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 spans="1:26" ht="134.25" customHeight="1" x14ac:dyDescent="0.2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 spans="1:26" ht="134.25" customHeight="1" x14ac:dyDescent="0.2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 spans="1:26" ht="134.25" customHeight="1" x14ac:dyDescent="0.2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 spans="1:26" ht="134.25" customHeight="1" x14ac:dyDescent="0.2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 spans="1:26" ht="134.25" customHeight="1" x14ac:dyDescent="0.2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 spans="1:26" ht="134.25" customHeight="1" x14ac:dyDescent="0.2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 spans="1:26" ht="134.25" customHeight="1" x14ac:dyDescent="0.2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 spans="1:26" ht="134.25" customHeight="1" x14ac:dyDescent="0.2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 spans="1:26" ht="134.25" customHeight="1" x14ac:dyDescent="0.2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 spans="1:26" ht="134.25" customHeight="1" x14ac:dyDescent="0.2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 spans="1:26" ht="134.25" customHeight="1" x14ac:dyDescent="0.2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 spans="1:26" ht="134.25" customHeight="1" x14ac:dyDescent="0.2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 spans="1:26" ht="134.25" customHeight="1" x14ac:dyDescent="0.2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 spans="1:26" ht="134.25" customHeight="1" x14ac:dyDescent="0.2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 spans="1:26" ht="134.25" customHeight="1" x14ac:dyDescent="0.2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 spans="1:26" ht="134.25" customHeight="1" x14ac:dyDescent="0.2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 spans="1:26" ht="134.25" customHeight="1" x14ac:dyDescent="0.2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 spans="1:26" ht="134.25" customHeight="1" x14ac:dyDescent="0.2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 spans="1:26" ht="134.25" customHeight="1" x14ac:dyDescent="0.2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 spans="1:26" ht="134.25" customHeight="1" x14ac:dyDescent="0.2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 spans="1:26" ht="134.25" customHeight="1" x14ac:dyDescent="0.2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 spans="1:26" ht="134.25" customHeight="1" x14ac:dyDescent="0.2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 spans="1:26" ht="134.25" customHeight="1" x14ac:dyDescent="0.2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 spans="1:26" ht="134.25" customHeight="1" x14ac:dyDescent="0.2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 spans="1:26" ht="134.25" customHeight="1" x14ac:dyDescent="0.2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 spans="1:26" ht="134.25" customHeight="1" x14ac:dyDescent="0.2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 spans="1:26" ht="134.25" customHeight="1" x14ac:dyDescent="0.2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 spans="1:26" ht="134.25" customHeight="1" x14ac:dyDescent="0.2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 spans="1:26" ht="134.25" customHeight="1" x14ac:dyDescent="0.2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 spans="1:26" ht="134.25" customHeight="1" x14ac:dyDescent="0.2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 spans="1:26" ht="134.25" customHeight="1" x14ac:dyDescent="0.2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 spans="1:26" ht="134.25" customHeight="1" x14ac:dyDescent="0.2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 spans="1:26" ht="134.25" customHeight="1" x14ac:dyDescent="0.2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 spans="1:26" ht="134.25" customHeight="1" x14ac:dyDescent="0.2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 spans="1:26" ht="134.25" customHeight="1" x14ac:dyDescent="0.2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 spans="1:26" ht="134.25" customHeight="1" x14ac:dyDescent="0.2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 spans="1:26" ht="134.25" customHeight="1" x14ac:dyDescent="0.2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 spans="1:26" ht="134.25" customHeight="1" x14ac:dyDescent="0.2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 spans="1:26" ht="134.25" customHeight="1" x14ac:dyDescent="0.2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 spans="1:26" ht="134.25" customHeight="1" x14ac:dyDescent="0.2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 spans="1:26" ht="134.25" customHeight="1" x14ac:dyDescent="0.2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 spans="1:26" ht="134.25" customHeight="1" x14ac:dyDescent="0.2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 spans="1:26" ht="134.25" customHeight="1" x14ac:dyDescent="0.2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 spans="1:26" ht="134.25" customHeight="1" x14ac:dyDescent="0.2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 spans="1:26" ht="134.25" customHeight="1" x14ac:dyDescent="0.2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 spans="1:26" ht="134.25" customHeight="1" x14ac:dyDescent="0.2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 spans="1:26" ht="134.25" customHeight="1" x14ac:dyDescent="0.2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 spans="1:26" ht="134.25" customHeight="1" x14ac:dyDescent="0.2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 spans="1:26" ht="134.25" customHeight="1" x14ac:dyDescent="0.2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 spans="1:26" ht="134.25" customHeight="1" x14ac:dyDescent="0.2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 spans="1:26" ht="134.25" customHeight="1" x14ac:dyDescent="0.2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 spans="1:26" ht="134.25" customHeight="1" x14ac:dyDescent="0.2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 spans="1:26" ht="134.25" customHeight="1" x14ac:dyDescent="0.2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 spans="1:26" ht="134.25" customHeight="1" x14ac:dyDescent="0.2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 spans="1:26" ht="134.25" customHeight="1" x14ac:dyDescent="0.2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 spans="1:26" ht="134.25" customHeight="1" x14ac:dyDescent="0.2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 spans="1:26" ht="134.25" customHeight="1" x14ac:dyDescent="0.2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 spans="1:26" ht="134.25" customHeight="1" x14ac:dyDescent="0.2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 spans="1:26" ht="134.25" customHeight="1" x14ac:dyDescent="0.2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 spans="1:26" ht="134.25" customHeight="1" x14ac:dyDescent="0.2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 spans="1:26" ht="134.25" customHeight="1" x14ac:dyDescent="0.2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 spans="1:26" ht="134.25" customHeight="1" x14ac:dyDescent="0.2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 spans="1:26" ht="134.25" customHeight="1" x14ac:dyDescent="0.2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 spans="1:26" ht="134.25" customHeight="1" x14ac:dyDescent="0.2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 spans="1:26" ht="134.25" customHeight="1" x14ac:dyDescent="0.2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 spans="1:26" ht="134.25" customHeight="1" x14ac:dyDescent="0.2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 spans="1:26" ht="134.25" customHeight="1" x14ac:dyDescent="0.2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 spans="1:26" ht="134.25" customHeight="1" x14ac:dyDescent="0.2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 spans="1:26" ht="134.25" customHeight="1" x14ac:dyDescent="0.2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 spans="1:26" ht="134.25" customHeight="1" x14ac:dyDescent="0.2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 spans="1:26" ht="134.25" customHeight="1" x14ac:dyDescent="0.2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 spans="1:26" ht="134.25" customHeight="1" x14ac:dyDescent="0.2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 spans="1:26" ht="134.25" customHeight="1" x14ac:dyDescent="0.2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 spans="1:26" ht="134.25" customHeight="1" x14ac:dyDescent="0.2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 spans="1:26" ht="134.25" customHeight="1" x14ac:dyDescent="0.2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 spans="1:26" ht="134.25" customHeight="1" x14ac:dyDescent="0.2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 spans="1:26" ht="134.25" customHeight="1" x14ac:dyDescent="0.2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 spans="1:26" ht="134.25" customHeight="1" x14ac:dyDescent="0.2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 spans="1:26" ht="134.25" customHeight="1" x14ac:dyDescent="0.2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 spans="1:26" ht="134.25" customHeight="1" x14ac:dyDescent="0.2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 spans="1:26" ht="134.25" customHeight="1" x14ac:dyDescent="0.2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 spans="1:26" ht="134.25" customHeight="1" x14ac:dyDescent="0.2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 spans="1:26" ht="134.25" customHeight="1" x14ac:dyDescent="0.2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 spans="1:26" ht="134.25" customHeight="1" x14ac:dyDescent="0.2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 spans="1:26" ht="134.25" customHeight="1" x14ac:dyDescent="0.2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 spans="1:26" ht="134.25" customHeight="1" x14ac:dyDescent="0.2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 spans="1:26" ht="134.25" customHeight="1" x14ac:dyDescent="0.2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 spans="1:26" ht="134.25" customHeight="1" x14ac:dyDescent="0.2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 spans="1:26" ht="134.25" customHeight="1" x14ac:dyDescent="0.2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 spans="1:26" ht="134.25" customHeight="1" x14ac:dyDescent="0.2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 spans="1:26" ht="134.25" customHeight="1" x14ac:dyDescent="0.2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 spans="1:26" ht="134.25" customHeight="1" x14ac:dyDescent="0.2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 spans="1:26" ht="134.25" customHeight="1" x14ac:dyDescent="0.2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 spans="1:26" ht="134.25" customHeight="1" x14ac:dyDescent="0.2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 spans="1:26" ht="134.25" customHeight="1" x14ac:dyDescent="0.2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 spans="1:26" ht="134.25" customHeight="1" x14ac:dyDescent="0.2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 spans="1:26" ht="134.25" customHeight="1" x14ac:dyDescent="0.2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 spans="1:26" ht="134.25" customHeight="1" x14ac:dyDescent="0.2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 spans="1:26" ht="134.25" customHeight="1" x14ac:dyDescent="0.2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 spans="1:26" ht="134.25" customHeight="1" x14ac:dyDescent="0.2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 spans="1:26" ht="134.25" customHeight="1" x14ac:dyDescent="0.2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 spans="1:26" ht="134.25" customHeight="1" x14ac:dyDescent="0.2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 spans="1:26" ht="134.25" customHeight="1" x14ac:dyDescent="0.2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 spans="1:26" ht="134.25" customHeight="1" x14ac:dyDescent="0.2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 spans="1:26" ht="134.25" customHeight="1" x14ac:dyDescent="0.2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 spans="1:26" ht="134.25" customHeight="1" x14ac:dyDescent="0.2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 spans="1:26" ht="134.25" customHeight="1" x14ac:dyDescent="0.2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 spans="1:26" ht="134.25" customHeight="1" x14ac:dyDescent="0.2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 spans="1:26" ht="134.25" customHeight="1" x14ac:dyDescent="0.2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 spans="1:26" ht="134.25" customHeight="1" x14ac:dyDescent="0.2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 spans="1:26" ht="134.25" customHeight="1" x14ac:dyDescent="0.2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 spans="1:26" ht="134.25" customHeight="1" x14ac:dyDescent="0.2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 spans="1:26" ht="134.25" customHeight="1" x14ac:dyDescent="0.2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 spans="1:26" ht="134.25" customHeight="1" x14ac:dyDescent="0.2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 spans="1:26" ht="134.25" customHeight="1" x14ac:dyDescent="0.2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 spans="1:26" ht="134.25" customHeight="1" x14ac:dyDescent="0.2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 spans="1:26" ht="134.25" customHeight="1" x14ac:dyDescent="0.2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 spans="1:26" ht="134.25" customHeight="1" x14ac:dyDescent="0.2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 spans="1:26" ht="134.25" customHeight="1" x14ac:dyDescent="0.2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 spans="1:26" ht="134.25" customHeight="1" x14ac:dyDescent="0.2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 spans="1:26" ht="134.25" customHeight="1" x14ac:dyDescent="0.2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 spans="1:26" ht="134.25" customHeight="1" x14ac:dyDescent="0.2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 spans="1:26" ht="134.25" customHeight="1" x14ac:dyDescent="0.2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 spans="1:26" ht="134.25" customHeight="1" x14ac:dyDescent="0.2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 spans="1:26" ht="134.25" customHeight="1" x14ac:dyDescent="0.2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 spans="1:26" ht="134.25" customHeight="1" x14ac:dyDescent="0.2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 spans="1:26" ht="134.25" customHeight="1" x14ac:dyDescent="0.2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 spans="1:26" ht="134.25" customHeight="1" x14ac:dyDescent="0.2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 spans="1:26" ht="134.25" customHeight="1" x14ac:dyDescent="0.2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 spans="1:26" ht="134.25" customHeight="1" x14ac:dyDescent="0.2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 spans="1:26" ht="134.25" customHeight="1" x14ac:dyDescent="0.2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 spans="1:26" ht="134.25" customHeight="1" x14ac:dyDescent="0.2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 spans="1:26" ht="134.25" customHeight="1" x14ac:dyDescent="0.2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 spans="1:26" ht="134.25" customHeight="1" x14ac:dyDescent="0.2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 spans="1:26" ht="134.25" customHeight="1" x14ac:dyDescent="0.2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 spans="1:26" ht="134.25" customHeight="1" x14ac:dyDescent="0.2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 spans="1:26" ht="134.25" customHeight="1" x14ac:dyDescent="0.2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 spans="1:26" ht="134.25" customHeight="1" x14ac:dyDescent="0.2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 spans="1:26" ht="134.25" customHeight="1" x14ac:dyDescent="0.2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 spans="1:26" ht="134.25" customHeight="1" x14ac:dyDescent="0.2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 spans="1:26" ht="134.25" customHeight="1" x14ac:dyDescent="0.2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 spans="1:26" ht="134.25" customHeight="1" x14ac:dyDescent="0.2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 spans="1:26" ht="134.25" customHeight="1" x14ac:dyDescent="0.2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 spans="1:26" ht="134.25" customHeight="1" x14ac:dyDescent="0.2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 spans="1:26" ht="134.25" customHeight="1" x14ac:dyDescent="0.2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 spans="1:26" ht="134.25" customHeight="1" x14ac:dyDescent="0.2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 spans="1:26" ht="134.25" customHeight="1" x14ac:dyDescent="0.2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 spans="1:26" ht="134.25" customHeight="1" x14ac:dyDescent="0.2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 spans="1:26" ht="134.25" customHeight="1" x14ac:dyDescent="0.2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 spans="1:26" ht="134.25" customHeight="1" x14ac:dyDescent="0.2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 spans="1:26" ht="134.25" customHeight="1" x14ac:dyDescent="0.2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 spans="1:26" ht="134.25" customHeight="1" x14ac:dyDescent="0.2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 spans="1:26" ht="134.25" customHeight="1" x14ac:dyDescent="0.2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 spans="1:26" ht="134.25" customHeight="1" x14ac:dyDescent="0.2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 spans="1:26" ht="134.25" customHeight="1" x14ac:dyDescent="0.2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 spans="1:26" ht="134.25" customHeight="1" x14ac:dyDescent="0.2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 spans="1:26" ht="134.25" customHeight="1" x14ac:dyDescent="0.2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 spans="1:26" ht="134.25" customHeight="1" x14ac:dyDescent="0.2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 spans="1:26" ht="134.25" customHeight="1" x14ac:dyDescent="0.2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 spans="1:26" ht="134.25" customHeight="1" x14ac:dyDescent="0.2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 spans="1:26" ht="134.25" customHeight="1" x14ac:dyDescent="0.2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 spans="1:26" ht="134.25" customHeight="1" x14ac:dyDescent="0.2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 spans="1:26" ht="134.25" customHeight="1" x14ac:dyDescent="0.2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 spans="1:26" ht="134.25" customHeight="1" x14ac:dyDescent="0.2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 spans="1:26" ht="134.25" customHeight="1" x14ac:dyDescent="0.2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 spans="1:26" ht="134.25" customHeight="1" x14ac:dyDescent="0.2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 spans="1:26" ht="134.25" customHeight="1" x14ac:dyDescent="0.2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 spans="1:26" ht="134.25" customHeight="1" x14ac:dyDescent="0.2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 spans="1:26" ht="134.25" customHeight="1" x14ac:dyDescent="0.2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 spans="1:26" ht="134.25" customHeight="1" x14ac:dyDescent="0.2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 spans="1:26" ht="134.25" customHeight="1" x14ac:dyDescent="0.2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 spans="1:26" ht="134.25" customHeight="1" x14ac:dyDescent="0.2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 spans="1:26" ht="134.25" customHeight="1" x14ac:dyDescent="0.2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 spans="1:26" ht="134.25" customHeight="1" x14ac:dyDescent="0.2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 spans="1:26" ht="134.25" customHeight="1" x14ac:dyDescent="0.2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 spans="1:26" ht="134.25" customHeight="1" x14ac:dyDescent="0.2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 spans="1:26" ht="134.25" customHeight="1" x14ac:dyDescent="0.2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 spans="1:26" ht="134.25" customHeight="1" x14ac:dyDescent="0.2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 spans="1:26" ht="134.25" customHeight="1" x14ac:dyDescent="0.2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 spans="1:26" ht="134.25" customHeight="1" x14ac:dyDescent="0.2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 spans="1:26" ht="134.25" customHeight="1" x14ac:dyDescent="0.2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 spans="1:26" ht="134.25" customHeight="1" x14ac:dyDescent="0.2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 spans="1:26" ht="134.25" customHeight="1" x14ac:dyDescent="0.2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 spans="1:26" ht="134.25" customHeight="1" x14ac:dyDescent="0.2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 spans="1:26" ht="134.25" customHeight="1" x14ac:dyDescent="0.2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 spans="1:26" ht="134.25" customHeight="1" x14ac:dyDescent="0.2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 spans="1:26" ht="134.25" customHeight="1" x14ac:dyDescent="0.2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 spans="1:26" ht="134.25" customHeight="1" x14ac:dyDescent="0.2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 spans="1:26" ht="134.25" customHeight="1" x14ac:dyDescent="0.2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 spans="1:26" ht="134.25" customHeight="1" x14ac:dyDescent="0.2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 spans="1:26" ht="134.25" customHeight="1" x14ac:dyDescent="0.2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 spans="1:26" ht="134.25" customHeight="1" x14ac:dyDescent="0.2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 spans="1:26" ht="134.25" customHeight="1" x14ac:dyDescent="0.2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 spans="1:26" ht="134.25" customHeight="1" x14ac:dyDescent="0.2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 spans="1:26" ht="134.25" customHeight="1" x14ac:dyDescent="0.2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 spans="1:26" ht="134.25" customHeight="1" x14ac:dyDescent="0.2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 spans="1:26" ht="134.25" customHeight="1" x14ac:dyDescent="0.2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 spans="1:26" ht="134.25" customHeight="1" x14ac:dyDescent="0.2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 spans="1:26" ht="134.25" customHeight="1" x14ac:dyDescent="0.2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 spans="1:26" ht="134.25" customHeight="1" x14ac:dyDescent="0.2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 spans="1:26" ht="134.25" customHeight="1" x14ac:dyDescent="0.2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 spans="1:26" ht="134.25" customHeight="1" x14ac:dyDescent="0.2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 spans="1:26" ht="134.25" customHeight="1" x14ac:dyDescent="0.2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 spans="1:26" ht="134.25" customHeight="1" x14ac:dyDescent="0.2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 spans="1:26" ht="134.25" customHeight="1" x14ac:dyDescent="0.2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 spans="1:26" ht="134.25" customHeight="1" x14ac:dyDescent="0.2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 spans="1:26" ht="134.25" customHeight="1" x14ac:dyDescent="0.2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 spans="1:26" ht="134.25" customHeight="1" x14ac:dyDescent="0.2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 spans="1:26" ht="134.25" customHeight="1" x14ac:dyDescent="0.2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 spans="1:26" ht="134.25" customHeight="1" x14ac:dyDescent="0.2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 spans="1:26" ht="134.25" customHeight="1" x14ac:dyDescent="0.2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 spans="1:26" ht="134.25" customHeight="1" x14ac:dyDescent="0.2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 spans="1:26" ht="134.25" customHeight="1" x14ac:dyDescent="0.2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 spans="1:26" ht="134.25" customHeight="1" x14ac:dyDescent="0.2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 spans="1:26" ht="134.25" customHeight="1" x14ac:dyDescent="0.2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 spans="1:26" ht="134.25" customHeight="1" x14ac:dyDescent="0.2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 spans="1:26" ht="134.25" customHeight="1" x14ac:dyDescent="0.2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 spans="1:26" ht="134.25" customHeight="1" x14ac:dyDescent="0.2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 spans="1:26" ht="134.25" customHeight="1" x14ac:dyDescent="0.2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 spans="1:26" ht="134.25" customHeight="1" x14ac:dyDescent="0.2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 spans="1:26" ht="134.25" customHeight="1" x14ac:dyDescent="0.2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 spans="1:26" ht="134.25" customHeight="1" x14ac:dyDescent="0.2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 spans="1:26" ht="134.25" customHeight="1" x14ac:dyDescent="0.2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 spans="1:26" ht="134.25" customHeight="1" x14ac:dyDescent="0.2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 spans="1:26" ht="134.25" customHeight="1" x14ac:dyDescent="0.2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 spans="1:26" ht="134.25" customHeight="1" x14ac:dyDescent="0.2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 spans="1:26" ht="134.25" customHeight="1" x14ac:dyDescent="0.2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 spans="1:26" ht="134.25" customHeight="1" x14ac:dyDescent="0.2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 spans="1:26" ht="134.25" customHeight="1" x14ac:dyDescent="0.2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 spans="1:26" ht="134.25" customHeight="1" x14ac:dyDescent="0.2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 spans="1:26" ht="134.25" customHeight="1" x14ac:dyDescent="0.2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 spans="1:26" ht="134.25" customHeight="1" x14ac:dyDescent="0.2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 spans="1:26" ht="134.25" customHeight="1" x14ac:dyDescent="0.2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 spans="1:26" ht="134.25" customHeight="1" x14ac:dyDescent="0.2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 spans="1:26" ht="134.25" customHeight="1" x14ac:dyDescent="0.2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 spans="1:26" ht="134.25" customHeight="1" x14ac:dyDescent="0.2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 spans="1:26" ht="134.25" customHeight="1" x14ac:dyDescent="0.2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 spans="1:26" ht="134.25" customHeight="1" x14ac:dyDescent="0.2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 spans="1:26" ht="134.25" customHeight="1" x14ac:dyDescent="0.2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 spans="1:26" ht="134.25" customHeight="1" x14ac:dyDescent="0.2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 spans="1:26" ht="134.25" customHeight="1" x14ac:dyDescent="0.2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 spans="1:26" ht="134.25" customHeight="1" x14ac:dyDescent="0.2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 spans="1:26" ht="134.25" customHeight="1" x14ac:dyDescent="0.2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 spans="1:26" ht="134.25" customHeight="1" x14ac:dyDescent="0.2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 spans="1:26" ht="134.25" customHeight="1" x14ac:dyDescent="0.2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 spans="1:26" ht="134.25" customHeight="1" x14ac:dyDescent="0.2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 spans="1:26" ht="134.25" customHeight="1" x14ac:dyDescent="0.2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 spans="1:26" ht="134.25" customHeight="1" x14ac:dyDescent="0.2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 spans="1:26" ht="134.25" customHeight="1" x14ac:dyDescent="0.2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 spans="1:26" ht="134.25" customHeight="1" x14ac:dyDescent="0.2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 spans="1:26" ht="134.25" customHeight="1" x14ac:dyDescent="0.2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 spans="1:26" ht="134.25" customHeight="1" x14ac:dyDescent="0.2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 spans="1:26" ht="134.25" customHeight="1" x14ac:dyDescent="0.2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 spans="1:26" ht="134.25" customHeight="1" x14ac:dyDescent="0.2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 spans="1:26" ht="134.25" customHeight="1" x14ac:dyDescent="0.2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 spans="1:26" ht="134.25" customHeight="1" x14ac:dyDescent="0.2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 spans="1:26" ht="134.25" customHeight="1" x14ac:dyDescent="0.2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 spans="1:26" ht="134.25" customHeight="1" x14ac:dyDescent="0.2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 spans="1:26" ht="134.25" customHeight="1" x14ac:dyDescent="0.2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 spans="1:26" ht="134.25" customHeight="1" x14ac:dyDescent="0.2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 spans="1:26" ht="134.25" customHeight="1" x14ac:dyDescent="0.2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 spans="1:26" ht="134.25" customHeight="1" x14ac:dyDescent="0.2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 spans="1:26" ht="134.25" customHeight="1" x14ac:dyDescent="0.2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 spans="1:26" ht="134.25" customHeight="1" x14ac:dyDescent="0.2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 spans="1:26" ht="134.25" customHeight="1" x14ac:dyDescent="0.2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 spans="1:26" ht="134.25" customHeight="1" x14ac:dyDescent="0.2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 spans="1:26" ht="134.25" customHeight="1" x14ac:dyDescent="0.2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 spans="1:26" ht="134.25" customHeight="1" x14ac:dyDescent="0.2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 spans="1:26" ht="134.25" customHeight="1" x14ac:dyDescent="0.2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 spans="1:26" ht="134.25" customHeight="1" x14ac:dyDescent="0.2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 spans="1:26" ht="134.25" customHeight="1" x14ac:dyDescent="0.2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 spans="1:26" ht="134.25" customHeight="1" x14ac:dyDescent="0.2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 spans="1:26" ht="134.25" customHeight="1" x14ac:dyDescent="0.2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 spans="1:26" ht="134.25" customHeight="1" x14ac:dyDescent="0.2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 spans="1:26" ht="134.25" customHeight="1" x14ac:dyDescent="0.2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 spans="1:26" ht="134.25" customHeight="1" x14ac:dyDescent="0.2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 spans="1:26" ht="134.25" customHeight="1" x14ac:dyDescent="0.2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 spans="1:26" ht="134.25" customHeight="1" x14ac:dyDescent="0.2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 spans="1:26" ht="134.25" customHeight="1" x14ac:dyDescent="0.2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 spans="1:26" ht="134.25" customHeight="1" x14ac:dyDescent="0.2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 spans="1:26" ht="134.25" customHeight="1" x14ac:dyDescent="0.2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 spans="1:26" ht="134.25" customHeight="1" x14ac:dyDescent="0.2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 spans="1:26" ht="134.25" customHeight="1" x14ac:dyDescent="0.2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 spans="1:26" ht="134.25" customHeight="1" x14ac:dyDescent="0.2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 spans="1:26" ht="134.25" customHeight="1" x14ac:dyDescent="0.2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 spans="1:26" ht="134.25" customHeight="1" x14ac:dyDescent="0.2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 spans="1:26" ht="134.25" customHeight="1" x14ac:dyDescent="0.2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 spans="1:26" ht="134.25" customHeight="1" x14ac:dyDescent="0.2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 spans="1:26" ht="134.25" customHeight="1" x14ac:dyDescent="0.2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 spans="1:26" ht="134.25" customHeight="1" x14ac:dyDescent="0.2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 spans="1:26" ht="134.25" customHeight="1" x14ac:dyDescent="0.2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 spans="1:26" ht="134.25" customHeight="1" x14ac:dyDescent="0.2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 spans="1:26" ht="134.25" customHeight="1" x14ac:dyDescent="0.2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 spans="1:26" ht="134.25" customHeight="1" x14ac:dyDescent="0.2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 spans="1:26" ht="134.25" customHeight="1" x14ac:dyDescent="0.2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 spans="1:26" ht="134.25" customHeight="1" x14ac:dyDescent="0.2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 spans="1:26" ht="134.25" customHeight="1" x14ac:dyDescent="0.2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 spans="1:26" ht="134.25" customHeight="1" x14ac:dyDescent="0.2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 spans="1:26" ht="134.25" customHeight="1" x14ac:dyDescent="0.2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 spans="1:26" ht="134.25" customHeight="1" x14ac:dyDescent="0.2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 spans="1:26" ht="134.25" customHeight="1" x14ac:dyDescent="0.2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 spans="1:26" ht="134.25" customHeight="1" x14ac:dyDescent="0.2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 spans="1:26" ht="134.25" customHeight="1" x14ac:dyDescent="0.2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 spans="1:26" ht="134.25" customHeight="1" x14ac:dyDescent="0.2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 spans="1:26" ht="134.25" customHeight="1" x14ac:dyDescent="0.2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 spans="1:26" ht="134.25" customHeight="1" x14ac:dyDescent="0.2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 spans="1:26" ht="134.25" customHeight="1" x14ac:dyDescent="0.2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 spans="1:26" ht="134.25" customHeight="1" x14ac:dyDescent="0.2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 spans="1:26" ht="134.25" customHeight="1" x14ac:dyDescent="0.2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 spans="1:26" ht="134.25" customHeight="1" x14ac:dyDescent="0.2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 spans="1:26" ht="134.25" customHeight="1" x14ac:dyDescent="0.2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 spans="1:26" ht="134.25" customHeight="1" x14ac:dyDescent="0.2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 spans="1:26" ht="134.25" customHeight="1" x14ac:dyDescent="0.2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 spans="1:26" ht="134.25" customHeight="1" x14ac:dyDescent="0.2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 spans="1:26" ht="134.25" customHeight="1" x14ac:dyDescent="0.2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 spans="1:26" ht="134.25" customHeight="1" x14ac:dyDescent="0.2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 spans="1:26" ht="134.25" customHeight="1" x14ac:dyDescent="0.2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 spans="1:26" ht="134.25" customHeight="1" x14ac:dyDescent="0.2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 spans="1:26" ht="134.25" customHeight="1" x14ac:dyDescent="0.2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 spans="1:26" ht="134.25" customHeight="1" x14ac:dyDescent="0.2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 spans="1:26" ht="134.25" customHeight="1" x14ac:dyDescent="0.2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 spans="1:26" ht="134.25" customHeight="1" x14ac:dyDescent="0.2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 spans="1:26" ht="134.25" customHeight="1" x14ac:dyDescent="0.2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 spans="1:26" ht="134.25" customHeight="1" x14ac:dyDescent="0.2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 spans="1:26" ht="134.25" customHeight="1" x14ac:dyDescent="0.2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 spans="1:26" ht="134.25" customHeight="1" x14ac:dyDescent="0.2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 spans="1:26" ht="134.25" customHeight="1" x14ac:dyDescent="0.2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 spans="1:26" ht="134.25" customHeight="1" x14ac:dyDescent="0.2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 spans="1:26" ht="134.25" customHeight="1" x14ac:dyDescent="0.2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 spans="1:26" ht="134.25" customHeight="1" x14ac:dyDescent="0.2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 spans="1:26" ht="134.25" customHeight="1" x14ac:dyDescent="0.2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 spans="1:26" ht="134.25" customHeight="1" x14ac:dyDescent="0.2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 spans="1:26" ht="134.25" customHeight="1" x14ac:dyDescent="0.2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 spans="1:26" ht="134.25" customHeight="1" x14ac:dyDescent="0.2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 spans="1:26" ht="134.25" customHeight="1" x14ac:dyDescent="0.2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 spans="1:26" ht="134.25" customHeight="1" x14ac:dyDescent="0.2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 spans="1:26" ht="134.25" customHeight="1" x14ac:dyDescent="0.2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 spans="1:26" ht="134.25" customHeight="1" x14ac:dyDescent="0.2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 spans="1:26" ht="134.25" customHeight="1" x14ac:dyDescent="0.2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 spans="1:26" ht="134.25" customHeight="1" x14ac:dyDescent="0.2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 spans="1:26" ht="134.25" customHeight="1" x14ac:dyDescent="0.2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 spans="1:26" ht="134.25" customHeight="1" x14ac:dyDescent="0.2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 spans="1:26" ht="134.25" customHeight="1" x14ac:dyDescent="0.2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 spans="1:26" ht="134.25" customHeight="1" x14ac:dyDescent="0.2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 spans="1:26" ht="134.25" customHeight="1" x14ac:dyDescent="0.2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 spans="1:26" ht="134.25" customHeight="1" x14ac:dyDescent="0.2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 spans="1:26" ht="134.25" customHeight="1" x14ac:dyDescent="0.2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 spans="1:26" ht="134.25" customHeight="1" x14ac:dyDescent="0.2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 spans="1:26" ht="134.25" customHeight="1" x14ac:dyDescent="0.2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 spans="1:26" ht="134.25" customHeight="1" x14ac:dyDescent="0.2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 spans="1:26" ht="134.25" customHeight="1" x14ac:dyDescent="0.2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 spans="1:26" ht="134.25" customHeight="1" x14ac:dyDescent="0.2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 spans="1:26" ht="134.25" customHeight="1" x14ac:dyDescent="0.2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 spans="1:26" ht="134.25" customHeight="1" x14ac:dyDescent="0.2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 spans="1:26" ht="134.25" customHeight="1" x14ac:dyDescent="0.2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 spans="1:26" ht="134.25" customHeight="1" x14ac:dyDescent="0.2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 spans="1:26" ht="134.25" customHeight="1" x14ac:dyDescent="0.2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 spans="1:26" ht="134.25" customHeight="1" x14ac:dyDescent="0.2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 spans="1:26" ht="134.25" customHeight="1" x14ac:dyDescent="0.2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 spans="1:26" ht="134.25" customHeight="1" x14ac:dyDescent="0.2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 spans="1:26" ht="134.25" customHeight="1" x14ac:dyDescent="0.2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 spans="1:26" ht="134.25" customHeight="1" x14ac:dyDescent="0.2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 spans="1:26" ht="134.25" customHeight="1" x14ac:dyDescent="0.2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 spans="1:26" ht="134.25" customHeight="1" x14ac:dyDescent="0.2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 spans="1:26" ht="134.25" customHeight="1" x14ac:dyDescent="0.2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 spans="1:26" ht="134.25" customHeight="1" x14ac:dyDescent="0.2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 spans="1:26" ht="134.25" customHeight="1" x14ac:dyDescent="0.2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 spans="1:26" ht="134.25" customHeight="1" x14ac:dyDescent="0.2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 spans="1:26" ht="134.25" customHeight="1" x14ac:dyDescent="0.2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 spans="1:26" ht="134.25" customHeight="1" x14ac:dyDescent="0.2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 spans="1:26" ht="134.25" customHeight="1" x14ac:dyDescent="0.2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 spans="1:26" ht="134.25" customHeight="1" x14ac:dyDescent="0.2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 spans="1:26" ht="134.25" customHeight="1" x14ac:dyDescent="0.2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 spans="1:26" ht="134.25" customHeight="1" x14ac:dyDescent="0.2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 spans="1:26" ht="134.25" customHeight="1" x14ac:dyDescent="0.2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 spans="1:26" ht="134.25" customHeight="1" x14ac:dyDescent="0.2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 spans="1:26" ht="134.25" customHeight="1" x14ac:dyDescent="0.2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 spans="1:26" ht="134.25" customHeight="1" x14ac:dyDescent="0.2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 spans="1:26" ht="134.25" customHeight="1" x14ac:dyDescent="0.2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 spans="1:26" ht="134.25" customHeight="1" x14ac:dyDescent="0.2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 spans="1:26" ht="134.25" customHeight="1" x14ac:dyDescent="0.2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 spans="1:26" ht="134.25" customHeight="1" x14ac:dyDescent="0.2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 spans="1:26" ht="134.25" customHeight="1" x14ac:dyDescent="0.2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 spans="1:26" ht="134.25" customHeight="1" x14ac:dyDescent="0.2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 spans="1:26" ht="134.25" customHeight="1" x14ac:dyDescent="0.2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 spans="1:26" ht="134.25" customHeight="1" x14ac:dyDescent="0.2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 spans="1:26" ht="134.25" customHeight="1" x14ac:dyDescent="0.2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 spans="1:26" ht="134.25" customHeight="1" x14ac:dyDescent="0.2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 spans="1:26" ht="134.25" customHeight="1" x14ac:dyDescent="0.2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 spans="1:26" ht="134.25" customHeight="1" x14ac:dyDescent="0.2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 spans="1:26" ht="134.25" customHeight="1" x14ac:dyDescent="0.2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 spans="1:26" ht="134.25" customHeight="1" x14ac:dyDescent="0.2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 spans="1:26" ht="134.25" customHeight="1" x14ac:dyDescent="0.2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 spans="1:26" ht="134.25" customHeight="1" x14ac:dyDescent="0.2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 spans="1:26" ht="134.25" customHeight="1" x14ac:dyDescent="0.2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 spans="1:26" ht="134.25" customHeight="1" x14ac:dyDescent="0.2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 spans="1:26" ht="134.25" customHeight="1" x14ac:dyDescent="0.2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 spans="1:26" ht="134.25" customHeight="1" x14ac:dyDescent="0.2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 spans="1:26" ht="134.25" customHeight="1" x14ac:dyDescent="0.2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 spans="1:26" ht="134.25" customHeight="1" x14ac:dyDescent="0.2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 spans="1:26" ht="134.25" customHeight="1" x14ac:dyDescent="0.2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 spans="1:26" ht="134.25" customHeight="1" x14ac:dyDescent="0.2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 spans="1:26" ht="134.25" customHeight="1" x14ac:dyDescent="0.2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 spans="1:26" ht="134.25" customHeight="1" x14ac:dyDescent="0.2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 spans="1:26" ht="134.25" customHeight="1" x14ac:dyDescent="0.2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 spans="1:26" ht="134.25" customHeight="1" x14ac:dyDescent="0.2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 spans="1:26" ht="134.25" customHeight="1" x14ac:dyDescent="0.2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 spans="1:26" ht="134.25" customHeight="1" x14ac:dyDescent="0.2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 spans="1:26" ht="134.25" customHeight="1" x14ac:dyDescent="0.2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 spans="1:26" ht="134.25" customHeight="1" x14ac:dyDescent="0.2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 spans="1:26" ht="134.25" customHeight="1" x14ac:dyDescent="0.2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 spans="1:26" ht="134.25" customHeight="1" x14ac:dyDescent="0.2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 spans="1:26" ht="134.25" customHeight="1" x14ac:dyDescent="0.2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 spans="1:26" ht="134.25" customHeight="1" x14ac:dyDescent="0.2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 spans="1:26" ht="134.25" customHeight="1" x14ac:dyDescent="0.2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 spans="1:26" ht="134.25" customHeight="1" x14ac:dyDescent="0.2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 spans="1:26" ht="134.25" customHeight="1" x14ac:dyDescent="0.2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 spans="1:26" ht="134.25" customHeight="1" x14ac:dyDescent="0.2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 spans="1:26" ht="134.25" customHeight="1" x14ac:dyDescent="0.2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 spans="1:26" ht="134.25" customHeight="1" x14ac:dyDescent="0.2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 spans="1:26" ht="134.25" customHeight="1" x14ac:dyDescent="0.2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 spans="1:26" ht="134.25" customHeight="1" x14ac:dyDescent="0.2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 spans="1:26" ht="134.25" customHeight="1" x14ac:dyDescent="0.2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 spans="1:26" ht="134.25" customHeight="1" x14ac:dyDescent="0.2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 spans="1:26" ht="134.25" customHeight="1" x14ac:dyDescent="0.2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 spans="1:26" ht="134.25" customHeight="1" x14ac:dyDescent="0.2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 spans="1:26" ht="134.25" customHeight="1" x14ac:dyDescent="0.2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 spans="1:26" ht="134.25" customHeight="1" x14ac:dyDescent="0.2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 spans="1:26" ht="134.25" customHeight="1" x14ac:dyDescent="0.2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 spans="1:26" ht="134.25" customHeight="1" x14ac:dyDescent="0.2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 spans="1:26" ht="134.25" customHeight="1" x14ac:dyDescent="0.2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 spans="1:26" ht="134.25" customHeight="1" x14ac:dyDescent="0.2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 spans="1:26" ht="134.25" customHeight="1" x14ac:dyDescent="0.2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 spans="1:26" ht="134.25" customHeight="1" x14ac:dyDescent="0.2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 spans="1:26" ht="134.25" customHeight="1" x14ac:dyDescent="0.2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 spans="1:26" ht="134.25" customHeight="1" x14ac:dyDescent="0.2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 spans="1:26" ht="134.25" customHeight="1" x14ac:dyDescent="0.2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 spans="1:26" ht="134.25" customHeight="1" x14ac:dyDescent="0.2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 spans="1:26" ht="134.25" customHeight="1" x14ac:dyDescent="0.2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 spans="1:26" ht="134.25" customHeight="1" x14ac:dyDescent="0.2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 spans="1:26" ht="134.25" customHeight="1" x14ac:dyDescent="0.2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 spans="1:26" ht="134.25" customHeight="1" x14ac:dyDescent="0.2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 spans="1:26" ht="134.25" customHeight="1" x14ac:dyDescent="0.2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 spans="1:26" ht="134.25" customHeight="1" x14ac:dyDescent="0.2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 spans="1:26" ht="134.25" customHeight="1" x14ac:dyDescent="0.2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 spans="1:26" ht="134.25" customHeight="1" x14ac:dyDescent="0.2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 spans="1:26" ht="134.25" customHeight="1" x14ac:dyDescent="0.2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 spans="1:26" ht="134.25" customHeight="1" x14ac:dyDescent="0.2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 spans="1:26" ht="134.25" customHeight="1" x14ac:dyDescent="0.2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 spans="1:26" ht="134.25" customHeight="1" x14ac:dyDescent="0.2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 spans="1:26" ht="134.25" customHeight="1" x14ac:dyDescent="0.2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 spans="1:26" ht="134.25" customHeight="1" x14ac:dyDescent="0.2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 spans="1:26" ht="134.25" customHeight="1" x14ac:dyDescent="0.2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 spans="1:26" ht="134.25" customHeight="1" x14ac:dyDescent="0.2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 spans="1:26" ht="134.25" customHeight="1" x14ac:dyDescent="0.2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 spans="1:26" ht="134.25" customHeight="1" x14ac:dyDescent="0.2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 spans="1:26" ht="134.25" customHeight="1" x14ac:dyDescent="0.2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 spans="1:26" ht="134.25" customHeight="1" x14ac:dyDescent="0.2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 spans="1:26" ht="134.25" customHeight="1" x14ac:dyDescent="0.2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 spans="1:26" ht="134.25" customHeight="1" x14ac:dyDescent="0.2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 spans="1:26" ht="134.25" customHeight="1" x14ac:dyDescent="0.2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 spans="1:26" ht="134.25" customHeight="1" x14ac:dyDescent="0.2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 spans="1:26" ht="134.25" customHeight="1" x14ac:dyDescent="0.2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 spans="1:26" ht="134.25" customHeight="1" x14ac:dyDescent="0.2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 spans="1:26" ht="134.25" customHeight="1" x14ac:dyDescent="0.2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 spans="1:26" ht="134.25" customHeight="1" x14ac:dyDescent="0.2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 spans="1:26" ht="134.25" customHeight="1" x14ac:dyDescent="0.2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 spans="1:26" ht="134.25" customHeight="1" x14ac:dyDescent="0.2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 spans="1:26" ht="134.25" customHeight="1" x14ac:dyDescent="0.2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 spans="1:26" ht="134.25" customHeight="1" x14ac:dyDescent="0.2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 spans="1:26" ht="134.25" customHeight="1" x14ac:dyDescent="0.2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 spans="1:26" ht="134.25" customHeight="1" x14ac:dyDescent="0.2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 spans="1:26" ht="134.25" customHeight="1" x14ac:dyDescent="0.2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 spans="1:26" ht="134.25" customHeight="1" x14ac:dyDescent="0.2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 spans="1:26" ht="134.25" customHeight="1" x14ac:dyDescent="0.2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 spans="1:26" ht="134.25" customHeight="1" x14ac:dyDescent="0.2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 spans="1:26" ht="134.25" customHeight="1" x14ac:dyDescent="0.2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 spans="1:26" ht="134.25" customHeight="1" x14ac:dyDescent="0.2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 spans="1:26" ht="134.25" customHeight="1" x14ac:dyDescent="0.2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 spans="1:26" ht="134.25" customHeight="1" x14ac:dyDescent="0.2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 spans="1:26" ht="134.25" customHeight="1" x14ac:dyDescent="0.2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 spans="1:26" ht="134.25" customHeight="1" x14ac:dyDescent="0.2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 spans="1:26" ht="134.25" customHeight="1" x14ac:dyDescent="0.2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 spans="1:26" ht="134.25" customHeight="1" x14ac:dyDescent="0.2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 spans="1:26" ht="134.25" customHeight="1" x14ac:dyDescent="0.2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 spans="1:26" ht="134.25" customHeight="1" x14ac:dyDescent="0.2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 spans="1:26" ht="134.25" customHeight="1" x14ac:dyDescent="0.2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 spans="1:26" ht="134.25" customHeight="1" x14ac:dyDescent="0.2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 spans="1:26" ht="134.25" customHeight="1" x14ac:dyDescent="0.2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 spans="1:26" ht="134.25" customHeight="1" x14ac:dyDescent="0.2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 spans="1:26" ht="134.25" customHeight="1" x14ac:dyDescent="0.2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 spans="1:26" ht="134.25" customHeight="1" x14ac:dyDescent="0.2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 spans="1:26" ht="134.25" customHeight="1" x14ac:dyDescent="0.2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 spans="1:26" ht="134.25" customHeight="1" x14ac:dyDescent="0.2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 spans="1:26" ht="134.25" customHeight="1" x14ac:dyDescent="0.2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 spans="1:26" ht="134.25" customHeight="1" x14ac:dyDescent="0.2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 spans="1:26" ht="134.25" customHeight="1" x14ac:dyDescent="0.2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 spans="1:26" ht="134.25" customHeight="1" x14ac:dyDescent="0.2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 spans="1:26" ht="134.25" customHeight="1" x14ac:dyDescent="0.2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 spans="1:26" ht="134.25" customHeight="1" x14ac:dyDescent="0.2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 spans="1:26" ht="134.25" customHeight="1" x14ac:dyDescent="0.2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 spans="1:26" ht="134.25" customHeight="1" x14ac:dyDescent="0.2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 spans="1:26" ht="134.25" customHeight="1" x14ac:dyDescent="0.2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 spans="1:26" ht="134.25" customHeight="1" x14ac:dyDescent="0.2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 spans="1:26" ht="134.25" customHeight="1" x14ac:dyDescent="0.2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 spans="1:26" ht="134.25" customHeight="1" x14ac:dyDescent="0.2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 spans="1:26" ht="134.25" customHeight="1" x14ac:dyDescent="0.2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 spans="1:26" ht="134.25" customHeight="1" x14ac:dyDescent="0.2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 spans="1:26" ht="134.25" customHeight="1" x14ac:dyDescent="0.2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 spans="1:26" ht="134.25" customHeight="1" x14ac:dyDescent="0.2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 spans="1:26" ht="134.25" customHeight="1" x14ac:dyDescent="0.2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 spans="1:26" ht="134.25" customHeight="1" x14ac:dyDescent="0.2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 spans="1:26" ht="134.25" customHeight="1" x14ac:dyDescent="0.2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 spans="1:26" ht="134.25" customHeight="1" x14ac:dyDescent="0.2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 spans="1:26" ht="134.25" customHeight="1" x14ac:dyDescent="0.2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 spans="1:26" ht="134.25" customHeight="1" x14ac:dyDescent="0.2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 spans="1:26" ht="134.25" customHeight="1" x14ac:dyDescent="0.2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 spans="1:26" ht="134.25" customHeight="1" x14ac:dyDescent="0.2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 spans="1:26" ht="134.25" customHeight="1" x14ac:dyDescent="0.2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 spans="1:26" ht="134.25" customHeight="1" x14ac:dyDescent="0.2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 spans="1:26" ht="134.25" customHeight="1" x14ac:dyDescent="0.2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 spans="1:26" ht="134.25" customHeight="1" x14ac:dyDescent="0.2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 spans="1:26" ht="134.25" customHeight="1" x14ac:dyDescent="0.2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 spans="1:26" ht="134.25" customHeight="1" x14ac:dyDescent="0.2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 spans="1:26" ht="134.25" customHeight="1" x14ac:dyDescent="0.2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 spans="1:26" ht="134.25" customHeight="1" x14ac:dyDescent="0.2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 spans="1:26" ht="134.25" customHeight="1" x14ac:dyDescent="0.2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 spans="1:26" ht="134.25" customHeight="1" x14ac:dyDescent="0.2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 spans="1:26" ht="134.25" customHeight="1" x14ac:dyDescent="0.2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 spans="1:26" ht="134.25" customHeight="1" x14ac:dyDescent="0.2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 spans="1:26" ht="134.25" customHeight="1" x14ac:dyDescent="0.2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 spans="1:26" ht="134.25" customHeight="1" x14ac:dyDescent="0.2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 spans="1:26" ht="134.25" customHeight="1" x14ac:dyDescent="0.2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 spans="1:26" ht="134.25" customHeight="1" x14ac:dyDescent="0.2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 spans="1:26" ht="134.25" customHeight="1" x14ac:dyDescent="0.2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 spans="1:26" ht="134.25" customHeight="1" x14ac:dyDescent="0.2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 spans="1:26" ht="134.25" customHeight="1" x14ac:dyDescent="0.2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 spans="1:26" ht="134.25" customHeight="1" x14ac:dyDescent="0.2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 spans="1:26" ht="134.25" customHeight="1" x14ac:dyDescent="0.2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 spans="1:26" ht="134.25" customHeight="1" x14ac:dyDescent="0.2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 spans="1:26" ht="134.25" customHeight="1" x14ac:dyDescent="0.2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 spans="1:26" ht="134.25" customHeight="1" x14ac:dyDescent="0.2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 spans="1:26" ht="134.25" customHeight="1" x14ac:dyDescent="0.2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 spans="1:26" ht="134.25" customHeight="1" x14ac:dyDescent="0.2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 spans="1:26" ht="134.25" customHeight="1" x14ac:dyDescent="0.2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 spans="1:26" ht="134.25" customHeight="1" x14ac:dyDescent="0.2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 spans="1:26" ht="134.25" customHeight="1" x14ac:dyDescent="0.2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 spans="1:26" ht="134.25" customHeight="1" x14ac:dyDescent="0.2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 spans="1:26" ht="134.25" customHeight="1" x14ac:dyDescent="0.2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 spans="1:26" ht="134.25" customHeight="1" x14ac:dyDescent="0.2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 spans="1:26" ht="134.25" customHeight="1" x14ac:dyDescent="0.2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 spans="1:26" ht="134.25" customHeight="1" x14ac:dyDescent="0.2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 spans="1:26" ht="134.25" customHeight="1" x14ac:dyDescent="0.2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 spans="1:26" ht="134.25" customHeight="1" x14ac:dyDescent="0.2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 spans="1:26" ht="134.25" customHeight="1" x14ac:dyDescent="0.2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 spans="1:26" ht="134.25" customHeight="1" x14ac:dyDescent="0.2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 spans="1:26" ht="134.25" customHeight="1" x14ac:dyDescent="0.2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 spans="1:26" ht="134.25" customHeight="1" x14ac:dyDescent="0.2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 spans="1:26" ht="134.25" customHeight="1" x14ac:dyDescent="0.2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 spans="1:26" ht="134.25" customHeight="1" x14ac:dyDescent="0.2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 spans="1:26" ht="134.25" customHeight="1" x14ac:dyDescent="0.2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 spans="1:26" ht="134.25" customHeight="1" x14ac:dyDescent="0.2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 spans="1:26" ht="134.25" customHeight="1" x14ac:dyDescent="0.2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 spans="1:26" ht="134.25" customHeight="1" x14ac:dyDescent="0.2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 spans="1:26" ht="134.25" customHeight="1" x14ac:dyDescent="0.2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 spans="1:26" ht="134.25" customHeight="1" x14ac:dyDescent="0.2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 spans="1:26" ht="134.25" customHeight="1" x14ac:dyDescent="0.2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 spans="1:26" ht="134.25" customHeight="1" x14ac:dyDescent="0.2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 spans="1:26" ht="134.25" customHeight="1" x14ac:dyDescent="0.2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 spans="1:26" ht="134.25" customHeight="1" x14ac:dyDescent="0.2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 spans="1:26" ht="134.25" customHeight="1" x14ac:dyDescent="0.2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 spans="1:26" ht="134.25" customHeight="1" x14ac:dyDescent="0.2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 spans="1:26" ht="134.25" customHeight="1" x14ac:dyDescent="0.2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 spans="1:26" ht="134.25" customHeight="1" x14ac:dyDescent="0.2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 spans="1:26" ht="134.25" customHeight="1" x14ac:dyDescent="0.2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 spans="1:26" ht="134.25" customHeight="1" x14ac:dyDescent="0.2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 spans="1:26" ht="134.25" customHeight="1" x14ac:dyDescent="0.2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 spans="1:26" ht="134.25" customHeight="1" x14ac:dyDescent="0.2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 spans="1:26" ht="134.25" customHeight="1" x14ac:dyDescent="0.2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 spans="1:26" ht="134.25" customHeight="1" x14ac:dyDescent="0.2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 spans="1:26" ht="134.25" customHeight="1" x14ac:dyDescent="0.2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 spans="1:26" ht="134.25" customHeight="1" x14ac:dyDescent="0.2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 spans="1:26" ht="134.25" customHeight="1" x14ac:dyDescent="0.2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 spans="1:26" ht="134.25" customHeight="1" x14ac:dyDescent="0.2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 spans="1:26" ht="134.25" customHeight="1" x14ac:dyDescent="0.2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 spans="1:26" ht="134.25" customHeight="1" x14ac:dyDescent="0.2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 spans="1:26" ht="134.25" customHeight="1" x14ac:dyDescent="0.2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 spans="1:26" ht="134.25" customHeight="1" x14ac:dyDescent="0.2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 spans="1:26" ht="134.25" customHeight="1" x14ac:dyDescent="0.2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 spans="1:26" ht="134.25" customHeight="1" x14ac:dyDescent="0.2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 spans="1:26" ht="134.25" customHeight="1" x14ac:dyDescent="0.2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 spans="1:26" ht="134.25" customHeight="1" x14ac:dyDescent="0.2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 spans="1:26" ht="134.25" customHeight="1" x14ac:dyDescent="0.2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 spans="1:26" ht="134.25" customHeight="1" x14ac:dyDescent="0.2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 spans="1:26" ht="134.25" customHeight="1" x14ac:dyDescent="0.2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 spans="1:26" ht="134.25" customHeight="1" x14ac:dyDescent="0.2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 spans="1:26" ht="134.25" customHeight="1" x14ac:dyDescent="0.2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 spans="1:26" ht="134.25" customHeight="1" x14ac:dyDescent="0.2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 spans="1:26" ht="134.25" customHeight="1" x14ac:dyDescent="0.2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 spans="1:26" ht="134.25" customHeight="1" x14ac:dyDescent="0.2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 spans="1:26" ht="134.25" customHeight="1" x14ac:dyDescent="0.2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 spans="1:26" ht="134.25" customHeight="1" x14ac:dyDescent="0.2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 spans="1:26" ht="134.25" customHeight="1" x14ac:dyDescent="0.2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 spans="1:26" ht="134.25" customHeight="1" x14ac:dyDescent="0.2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 spans="1:26" ht="134.25" customHeight="1" x14ac:dyDescent="0.2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 spans="1:26" ht="134.25" customHeight="1" x14ac:dyDescent="0.2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 spans="1:26" ht="134.25" customHeight="1" x14ac:dyDescent="0.2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 spans="1:26" ht="134.25" customHeight="1" x14ac:dyDescent="0.2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 spans="1:26" ht="134.25" customHeight="1" x14ac:dyDescent="0.2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 spans="1:26" ht="134.25" customHeight="1" x14ac:dyDescent="0.2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 spans="1:26" ht="134.25" customHeight="1" x14ac:dyDescent="0.2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 spans="1:26" ht="134.25" customHeight="1" x14ac:dyDescent="0.2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 spans="1:26" ht="134.25" customHeight="1" x14ac:dyDescent="0.2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 spans="1:26" ht="134.25" customHeight="1" x14ac:dyDescent="0.2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 spans="1:26" ht="134.25" customHeight="1" x14ac:dyDescent="0.2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 spans="1:26" ht="134.25" customHeight="1" x14ac:dyDescent="0.2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 spans="1:26" ht="134.25" customHeight="1" x14ac:dyDescent="0.2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 spans="1:26" ht="134.25" customHeight="1" x14ac:dyDescent="0.2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 spans="1:26" ht="134.25" customHeight="1" x14ac:dyDescent="0.2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 spans="1:26" ht="134.25" customHeight="1" x14ac:dyDescent="0.2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 spans="1:26" ht="134.25" customHeight="1" x14ac:dyDescent="0.2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 spans="1:26" ht="134.25" customHeight="1" x14ac:dyDescent="0.2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 spans="1:26" ht="134.25" customHeight="1" x14ac:dyDescent="0.2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 spans="1:26" ht="134.25" customHeight="1" x14ac:dyDescent="0.2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 spans="1:26" ht="134.25" customHeight="1" x14ac:dyDescent="0.2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 spans="1:26" ht="134.25" customHeight="1" x14ac:dyDescent="0.2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 spans="1:26" ht="134.25" customHeight="1" x14ac:dyDescent="0.2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 spans="1:26" ht="134.25" customHeight="1" x14ac:dyDescent="0.2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 spans="1:26" ht="134.25" customHeight="1" x14ac:dyDescent="0.2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 spans="1:26" ht="134.25" customHeight="1" x14ac:dyDescent="0.2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 spans="1:26" ht="134.25" customHeight="1" x14ac:dyDescent="0.2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 spans="1:26" ht="134.25" customHeight="1" x14ac:dyDescent="0.2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 spans="1:26" ht="134.25" customHeight="1" x14ac:dyDescent="0.2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 spans="1:26" ht="134.25" customHeight="1" x14ac:dyDescent="0.2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 spans="1:26" ht="134.25" customHeight="1" x14ac:dyDescent="0.2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 spans="1:26" ht="134.25" customHeight="1" x14ac:dyDescent="0.2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 spans="1:26" ht="134.25" customHeight="1" x14ac:dyDescent="0.2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 spans="1:26" ht="134.25" customHeight="1" x14ac:dyDescent="0.2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 spans="1:26" ht="134.25" customHeight="1" x14ac:dyDescent="0.2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 spans="1:26" ht="134.25" customHeight="1" x14ac:dyDescent="0.2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 spans="1:26" ht="134.25" customHeight="1" x14ac:dyDescent="0.2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 spans="1:26" ht="134.25" customHeight="1" x14ac:dyDescent="0.2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 spans="1:26" ht="134.25" customHeight="1" x14ac:dyDescent="0.2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 spans="1:26" ht="134.25" customHeight="1" x14ac:dyDescent="0.2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 spans="1:26" ht="134.25" customHeight="1" x14ac:dyDescent="0.2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 spans="1:26" ht="134.25" customHeight="1" x14ac:dyDescent="0.2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 spans="1:26" ht="134.25" customHeight="1" x14ac:dyDescent="0.2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 spans="1:26" ht="134.25" customHeight="1" x14ac:dyDescent="0.2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 spans="1:26" ht="134.25" customHeight="1" x14ac:dyDescent="0.2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 spans="1:26" ht="134.25" customHeight="1" x14ac:dyDescent="0.2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 spans="1:26" ht="134.25" customHeight="1" x14ac:dyDescent="0.2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 spans="1:26" ht="134.25" customHeight="1" x14ac:dyDescent="0.2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 spans="1:26" ht="134.25" customHeight="1" x14ac:dyDescent="0.2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 spans="1:26" ht="134.25" customHeight="1" x14ac:dyDescent="0.2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 spans="1:26" ht="134.25" customHeight="1" x14ac:dyDescent="0.2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 spans="1:26" ht="134.25" customHeight="1" x14ac:dyDescent="0.2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 spans="1:26" ht="134.25" customHeight="1" x14ac:dyDescent="0.2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 spans="1:26" ht="134.25" customHeight="1" x14ac:dyDescent="0.2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 spans="1:26" ht="134.25" customHeight="1" x14ac:dyDescent="0.2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 spans="1:26" ht="134.25" customHeight="1" x14ac:dyDescent="0.2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 spans="1:26" ht="134.25" customHeight="1" x14ac:dyDescent="0.2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 spans="1:26" ht="134.25" customHeight="1" x14ac:dyDescent="0.2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 spans="1:26" ht="134.25" customHeight="1" x14ac:dyDescent="0.2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 spans="1:26" ht="134.25" customHeight="1" x14ac:dyDescent="0.2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 spans="1:26" ht="134.25" customHeight="1" x14ac:dyDescent="0.2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 spans="1:26" ht="134.25" customHeight="1" x14ac:dyDescent="0.2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 spans="1:26" ht="134.25" customHeight="1" x14ac:dyDescent="0.2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 spans="1:26" ht="134.25" customHeight="1" x14ac:dyDescent="0.2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 spans="1:26" ht="134.25" customHeight="1" x14ac:dyDescent="0.2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 spans="1:26" ht="134.25" customHeight="1" x14ac:dyDescent="0.2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 spans="1:26" ht="134.25" customHeight="1" x14ac:dyDescent="0.2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 spans="1:26" ht="134.25" customHeight="1" x14ac:dyDescent="0.2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 spans="1:26" ht="134.25" customHeight="1" x14ac:dyDescent="0.2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 spans="1:26" ht="134.25" customHeight="1" x14ac:dyDescent="0.2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 spans="1:26" ht="134.25" customHeight="1" x14ac:dyDescent="0.2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 spans="1:26" ht="134.25" customHeight="1" x14ac:dyDescent="0.2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 spans="1:26" ht="134.25" customHeight="1" x14ac:dyDescent="0.2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 spans="1:26" ht="134.25" customHeight="1" x14ac:dyDescent="0.2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 spans="1:26" ht="134.25" customHeight="1" x14ac:dyDescent="0.2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 spans="1:26" ht="134.25" customHeight="1" x14ac:dyDescent="0.2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 spans="1:26" ht="134.25" customHeight="1" x14ac:dyDescent="0.2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 spans="1:26" ht="134.25" customHeight="1" x14ac:dyDescent="0.2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 spans="1:26" ht="134.25" customHeight="1" x14ac:dyDescent="0.2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 spans="1:26" ht="134.25" customHeight="1" x14ac:dyDescent="0.2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 spans="1:26" ht="134.25" customHeight="1" x14ac:dyDescent="0.2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 spans="1:26" ht="134.25" customHeight="1" x14ac:dyDescent="0.2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 spans="1:26" ht="134.25" customHeight="1" x14ac:dyDescent="0.2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 spans="1:26" ht="134.25" customHeight="1" x14ac:dyDescent="0.2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 spans="1:26" ht="134.25" customHeight="1" x14ac:dyDescent="0.2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 spans="1:26" ht="134.25" customHeight="1" x14ac:dyDescent="0.2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 spans="1:26" ht="134.25" customHeight="1" x14ac:dyDescent="0.2">
      <c r="A1001" s="36"/>
      <c r="B1001" s="36"/>
      <c r="C1001" s="36"/>
      <c r="D1001" s="36"/>
      <c r="E1001" s="36"/>
      <c r="F1001" s="36"/>
      <c r="G1001" s="36"/>
      <c r="H1001" s="36"/>
      <c r="I1001" s="36"/>
      <c r="J1001" s="36"/>
      <c r="K1001" s="36"/>
      <c r="L1001" s="36"/>
      <c r="M1001" s="36"/>
      <c r="N1001" s="36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 spans="1:26" ht="134.25" customHeight="1" x14ac:dyDescent="0.2">
      <c r="A1002" s="36"/>
      <c r="B1002" s="36"/>
      <c r="C1002" s="36"/>
      <c r="D1002" s="36"/>
      <c r="E1002" s="36"/>
      <c r="F1002" s="36"/>
      <c r="G1002" s="36"/>
      <c r="H1002" s="36"/>
      <c r="I1002" s="36"/>
      <c r="J1002" s="36"/>
      <c r="K1002" s="36"/>
      <c r="L1002" s="36"/>
      <c r="M1002" s="36"/>
      <c r="N1002" s="36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</sheetData>
  <mergeCells count="1">
    <mergeCell ref="B3:O3"/>
  </mergeCells>
  <phoneticPr fontId="16" type="noConversion"/>
  <conditionalFormatting sqref="K6:K9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9 L13">
    <cfRule type="colorScale" priority="5">
      <colorScale>
        <cfvo type="min"/>
        <cfvo type="max"/>
        <color rgb="FF57BB8A"/>
        <color rgb="FFFFFFFF"/>
      </colorScale>
    </cfRule>
  </conditionalFormatting>
  <dataValidations disablePrompts="1" count="4">
    <dataValidation type="list" allowBlank="1" showErrorMessage="1" sqref="K14:L21" xr:uid="{00000000-0002-0000-0000-000003000000}">
      <formula1>#REF!</formula1>
    </dataValidation>
    <dataValidation type="list" allowBlank="1" showErrorMessage="1" sqref="L6:L9" xr:uid="{00000000-0002-0000-0000-000000000000}">
      <formula1>$L$31:$L$34</formula1>
    </dataValidation>
    <dataValidation type="list" allowBlank="1" showErrorMessage="1" sqref="K6:K9" xr:uid="{00000000-0002-0000-0000-000001000000}">
      <formula1>$K$31:$K$33</formula1>
    </dataValidation>
    <dataValidation type="custom" allowBlank="1" showDropDown="1" sqref="J6:J9" xr:uid="{00000000-0002-0000-0000-000002000000}">
      <formula1>OR(NOT(ISERROR(DATEVALUE(J6))), AND(ISNUMBER(J6), LEFT(CELL("format", J6))="D"))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K29" sqref="K29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"/>
      <c r="D4" s="1"/>
      <c r="E4" s="1"/>
      <c r="F4" s="2"/>
    </row>
    <row r="5" spans="1:26" hidden="1" x14ac:dyDescent="0.25">
      <c r="C5" s="1"/>
      <c r="D5" s="1"/>
      <c r="E5" s="1"/>
      <c r="F5" s="2"/>
    </row>
    <row r="6" spans="1:26" ht="39.75" customHeight="1" x14ac:dyDescent="0.2">
      <c r="B6" s="68" t="s">
        <v>28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70"/>
    </row>
    <row r="7" spans="1:26" ht="9.75" customHeight="1" x14ac:dyDescent="0.2">
      <c r="A7" s="3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9.75" customHeight="1" x14ac:dyDescent="0.25">
      <c r="B8" s="5"/>
      <c r="C8" s="6"/>
      <c r="D8" s="6"/>
      <c r="E8" s="6"/>
      <c r="F8" s="7"/>
      <c r="G8" s="8"/>
      <c r="H8" s="8"/>
      <c r="I8" s="8"/>
      <c r="J8" s="8"/>
      <c r="K8" s="8"/>
      <c r="L8" s="8"/>
      <c r="M8" s="8"/>
      <c r="N8" s="8"/>
      <c r="O8" s="8"/>
      <c r="P8" s="9"/>
      <c r="Q8" s="3"/>
    </row>
    <row r="9" spans="1:26" ht="30" customHeight="1" x14ac:dyDescent="0.2">
      <c r="B9" s="10"/>
      <c r="C9" s="11" t="s">
        <v>1</v>
      </c>
      <c r="D9" s="12"/>
      <c r="E9" s="71" t="s">
        <v>29</v>
      </c>
      <c r="F9" s="70"/>
      <c r="G9" s="12"/>
      <c r="H9" s="71" t="s">
        <v>11</v>
      </c>
      <c r="I9" s="70"/>
      <c r="J9" s="13"/>
      <c r="K9" s="13"/>
      <c r="L9" s="13"/>
      <c r="M9" s="13"/>
      <c r="N9" s="13"/>
      <c r="O9" s="13"/>
      <c r="P9" s="14"/>
      <c r="Q9" s="3"/>
    </row>
    <row r="10" spans="1:26" ht="30" customHeight="1" x14ac:dyDescent="0.2">
      <c r="B10" s="10"/>
      <c r="C10" s="15" t="s">
        <v>18</v>
      </c>
      <c r="D10" s="16"/>
      <c r="E10" s="72" t="str">
        <f>VLOOKUP(C10,'Formato descripción HU'!B6:O21,5,0)</f>
        <v>Administrador</v>
      </c>
      <c r="F10" s="70"/>
      <c r="G10" s="17"/>
      <c r="H10" s="72" t="str">
        <f>VLOOKUP(C10,'Formato descripción HU'!B6:O21,11,0)</f>
        <v>No iniciado</v>
      </c>
      <c r="I10" s="70"/>
      <c r="J10" s="17"/>
      <c r="K10" s="13"/>
      <c r="L10" s="13"/>
      <c r="M10" s="13"/>
      <c r="N10" s="13"/>
      <c r="O10" s="13"/>
      <c r="P10" s="14"/>
      <c r="Q10" s="3"/>
    </row>
    <row r="11" spans="1:26" ht="9.75" customHeight="1" x14ac:dyDescent="0.2">
      <c r="A11" s="3"/>
      <c r="B11" s="10"/>
      <c r="C11" s="18"/>
      <c r="D11" s="16"/>
      <c r="E11" s="19"/>
      <c r="F11" s="19"/>
      <c r="G11" s="17"/>
      <c r="H11" s="19"/>
      <c r="I11" s="19"/>
      <c r="J11" s="17"/>
      <c r="K11" s="19"/>
      <c r="L11" s="19"/>
      <c r="M11" s="13"/>
      <c r="N11" s="19"/>
      <c r="O11" s="19"/>
      <c r="P11" s="1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 x14ac:dyDescent="0.2">
      <c r="A12" s="3"/>
      <c r="B12" s="10"/>
      <c r="C12" s="11" t="s">
        <v>30</v>
      </c>
      <c r="D12" s="16"/>
      <c r="E12" s="71" t="s">
        <v>10</v>
      </c>
      <c r="F12" s="70"/>
      <c r="G12" s="17"/>
      <c r="H12" s="71" t="s">
        <v>31</v>
      </c>
      <c r="I12" s="70"/>
      <c r="J12" s="17"/>
      <c r="K12" s="19"/>
      <c r="L12" s="19"/>
      <c r="M12" s="13"/>
      <c r="N12" s="19"/>
      <c r="O12" s="19"/>
      <c r="P12" s="1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 x14ac:dyDescent="0.2">
      <c r="A13" s="3"/>
      <c r="B13" s="10"/>
      <c r="C13" s="15">
        <f>VLOOKUP('Historia de Usuario'!C10,'Formato descripción HU'!B6:O21,8,0)</f>
        <v>8</v>
      </c>
      <c r="D13" s="16"/>
      <c r="E13" s="72" t="str">
        <f>VLOOKUP(C10,'Formato descripción HU'!B6:O21,10,0)</f>
        <v>Alta</v>
      </c>
      <c r="F13" s="70"/>
      <c r="G13" s="17"/>
      <c r="H13" s="72">
        <f>VLOOKUP(C10,'Formato descripción HU'!B6:O21,7,0)</f>
        <v>0</v>
      </c>
      <c r="I13" s="70"/>
      <c r="J13" s="17"/>
      <c r="K13" s="19"/>
      <c r="L13" s="19"/>
      <c r="M13" s="13"/>
      <c r="N13" s="19"/>
      <c r="O13" s="19"/>
      <c r="P13" s="1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9.75" customHeight="1" x14ac:dyDescent="0.2">
      <c r="A14" s="3"/>
      <c r="B14" s="10"/>
      <c r="C14" s="13"/>
      <c r="D14" s="16"/>
      <c r="E14" s="13"/>
      <c r="F14" s="13"/>
      <c r="G14" s="17"/>
      <c r="H14" s="17"/>
      <c r="I14" s="13"/>
      <c r="J14" s="13"/>
      <c r="K14" s="13"/>
      <c r="L14" s="13"/>
      <c r="M14" s="13"/>
      <c r="N14" s="13"/>
      <c r="O14" s="13"/>
      <c r="P14" s="1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2">
      <c r="A15" s="3"/>
      <c r="B15" s="10"/>
      <c r="C15" s="79" t="s">
        <v>32</v>
      </c>
      <c r="D15" s="73" t="str">
        <f>VLOOKUP(C10,'Formato descripción HU'!B6:O21,3,0)</f>
        <v>El sistema deberá permitir el inicio de sesión solo para personal autorizado.</v>
      </c>
      <c r="E15" s="74"/>
      <c r="F15" s="20"/>
      <c r="G15" s="79" t="s">
        <v>33</v>
      </c>
      <c r="H15" s="73" t="str">
        <f>VLOOKUP(C10,'Formato descripción HU'!B6:O21,4,0)</f>
        <v>Garantizar la seguridad del acceso al sistema.</v>
      </c>
      <c r="I15" s="82"/>
      <c r="J15" s="74"/>
      <c r="K15" s="20"/>
      <c r="L15" s="79" t="s">
        <v>34</v>
      </c>
      <c r="M15" s="84" t="str">
        <f>VLOOKUP(C10,'Formato descripción HU'!B6:O21,6,0)</f>
        <v xml:space="preserve">En el apartado del administrador, este podrá registrar a sus clientes de forma más rapida y censilla. </v>
      </c>
      <c r="N15" s="82"/>
      <c r="O15" s="74"/>
      <c r="P15" s="1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2">
      <c r="A16" s="3"/>
      <c r="B16" s="10"/>
      <c r="C16" s="80"/>
      <c r="D16" s="75"/>
      <c r="E16" s="76"/>
      <c r="F16" s="20"/>
      <c r="G16" s="80"/>
      <c r="H16" s="75"/>
      <c r="I16" s="54"/>
      <c r="J16" s="76"/>
      <c r="K16" s="20"/>
      <c r="L16" s="80"/>
      <c r="M16" s="75"/>
      <c r="N16" s="54"/>
      <c r="O16" s="76"/>
      <c r="P16" s="1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2">
      <c r="A17" s="3"/>
      <c r="B17" s="10"/>
      <c r="C17" s="81"/>
      <c r="D17" s="77"/>
      <c r="E17" s="78"/>
      <c r="F17" s="20"/>
      <c r="G17" s="81"/>
      <c r="H17" s="77"/>
      <c r="I17" s="83"/>
      <c r="J17" s="78"/>
      <c r="K17" s="20"/>
      <c r="L17" s="81"/>
      <c r="M17" s="77"/>
      <c r="N17" s="83"/>
      <c r="O17" s="78"/>
      <c r="P17" s="1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9.75" customHeight="1" x14ac:dyDescent="0.2">
      <c r="A18" s="3"/>
      <c r="B18" s="10"/>
      <c r="C18" s="13"/>
      <c r="D18" s="13"/>
      <c r="E18" s="13"/>
      <c r="F18" s="13"/>
      <c r="G18" s="17"/>
      <c r="H18" s="17"/>
      <c r="I18" s="17"/>
      <c r="J18" s="13"/>
      <c r="K18" s="13"/>
      <c r="L18" s="13"/>
      <c r="M18" s="13"/>
      <c r="N18" s="13"/>
      <c r="O18" s="13"/>
      <c r="P18" s="1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9.5" customHeight="1" x14ac:dyDescent="0.2">
      <c r="B19" s="10"/>
      <c r="C19" s="91" t="s">
        <v>35</v>
      </c>
      <c r="D19" s="74"/>
      <c r="E19" s="85" t="str">
        <f>VLOOKUP(C10,'Formato descripción HU'!B6:O21,14,0)</f>
        <v>Registro de clientes</v>
      </c>
      <c r="F19" s="86"/>
      <c r="G19" s="86"/>
      <c r="H19" s="86"/>
      <c r="I19" s="86"/>
      <c r="J19" s="86"/>
      <c r="K19" s="86"/>
      <c r="L19" s="86"/>
      <c r="M19" s="86"/>
      <c r="N19" s="86"/>
      <c r="O19" s="87"/>
      <c r="P19" s="14"/>
      <c r="Q19" s="3"/>
    </row>
    <row r="20" spans="1:26" ht="19.5" customHeight="1" x14ac:dyDescent="0.2">
      <c r="B20" s="10"/>
      <c r="C20" s="77"/>
      <c r="D20" s="78"/>
      <c r="E20" s="88"/>
      <c r="F20" s="89"/>
      <c r="G20" s="89"/>
      <c r="H20" s="89"/>
      <c r="I20" s="89"/>
      <c r="J20" s="89"/>
      <c r="K20" s="89"/>
      <c r="L20" s="89"/>
      <c r="M20" s="89"/>
      <c r="N20" s="89"/>
      <c r="O20" s="90"/>
      <c r="P20" s="14"/>
      <c r="Q20" s="3"/>
    </row>
    <row r="21" spans="1:26" ht="9.75" customHeight="1" x14ac:dyDescent="0.2">
      <c r="B21" s="10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3"/>
    </row>
    <row r="22" spans="1:26" ht="19.5" customHeight="1" x14ac:dyDescent="0.2">
      <c r="A22" s="3"/>
      <c r="B22" s="10"/>
      <c r="C22" s="92" t="s">
        <v>36</v>
      </c>
      <c r="D22" s="74"/>
      <c r="E22" s="93" t="str">
        <f>VLOOKUP(C10,'Formato descripción HU'!B6:O21,12,0)</f>
        <v>Cuando se registre a un cliente, debe llenar todos los campos necesarios y requeridos, caso contrario no le permitirá completar la acción.</v>
      </c>
      <c r="F22" s="82"/>
      <c r="G22" s="82"/>
      <c r="H22" s="74"/>
      <c r="I22" s="13"/>
      <c r="J22" s="92" t="s">
        <v>13</v>
      </c>
      <c r="K22" s="74"/>
      <c r="L22" s="73">
        <f>VLOOKUP(C10,'Formato descripción HU'!B6:O21,13,0)</f>
        <v>0</v>
      </c>
      <c r="M22" s="82"/>
      <c r="N22" s="82"/>
      <c r="O22" s="74"/>
      <c r="P22" s="1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2">
      <c r="A23" s="3"/>
      <c r="B23" s="10"/>
      <c r="C23" s="75"/>
      <c r="D23" s="76"/>
      <c r="E23" s="75"/>
      <c r="F23" s="54"/>
      <c r="G23" s="54"/>
      <c r="H23" s="76"/>
      <c r="I23" s="13"/>
      <c r="J23" s="75"/>
      <c r="K23" s="76"/>
      <c r="L23" s="75"/>
      <c r="M23" s="54"/>
      <c r="N23" s="54"/>
      <c r="O23" s="76"/>
      <c r="P23" s="1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2">
      <c r="A24" s="3"/>
      <c r="B24" s="10"/>
      <c r="C24" s="77"/>
      <c r="D24" s="78"/>
      <c r="E24" s="77"/>
      <c r="F24" s="83"/>
      <c r="G24" s="83"/>
      <c r="H24" s="78"/>
      <c r="I24" s="13"/>
      <c r="J24" s="77"/>
      <c r="K24" s="78"/>
      <c r="L24" s="77"/>
      <c r="M24" s="83"/>
      <c r="N24" s="83"/>
      <c r="O24" s="78"/>
      <c r="P24" s="1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9.75" customHeight="1" x14ac:dyDescent="0.2">
      <c r="A25" s="3"/>
      <c r="B25" s="21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9.5" customHeight="1" x14ac:dyDescent="0.25">
      <c r="C26" s="1"/>
      <c r="D26" s="1"/>
      <c r="E26" s="1"/>
      <c r="F26" s="2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1" x14ac:dyDescent="0.2">
      <c r="A27" s="3"/>
      <c r="B27" s="9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2">
      <c r="A28" s="3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25">
      <c r="B29" s="3"/>
      <c r="C29" s="1"/>
      <c r="D29" s="1"/>
      <c r="E29" s="1"/>
      <c r="F29" s="2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2">
      <c r="B30" s="3"/>
      <c r="C30" s="24"/>
      <c r="D30" s="25"/>
      <c r="E30" s="95"/>
      <c r="F30" s="54"/>
      <c r="G30" s="25"/>
      <c r="H30" s="95"/>
      <c r="I30" s="5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2">
      <c r="A31" s="3"/>
      <c r="B31" s="3"/>
      <c r="C31" s="24"/>
      <c r="D31" s="26"/>
      <c r="E31" s="95"/>
      <c r="F31" s="54"/>
      <c r="G31" s="27"/>
      <c r="H31" s="95"/>
      <c r="I31" s="54"/>
      <c r="J31" s="27"/>
      <c r="K31" s="28"/>
      <c r="L31" s="28"/>
      <c r="M31" s="3"/>
      <c r="N31" s="28"/>
      <c r="O31" s="28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9.5" customHeight="1" x14ac:dyDescent="0.2">
      <c r="A32" s="3"/>
      <c r="B32" s="3"/>
      <c r="C32" s="29"/>
      <c r="D32" s="26"/>
      <c r="E32" s="98"/>
      <c r="F32" s="54"/>
      <c r="G32" s="27"/>
      <c r="H32" s="98"/>
      <c r="I32" s="54"/>
      <c r="J32" s="27"/>
      <c r="K32" s="28"/>
      <c r="L32" s="28"/>
      <c r="M32" s="3"/>
      <c r="N32" s="28"/>
      <c r="O32" s="28"/>
      <c r="P32" s="3"/>
    </row>
    <row r="33" spans="1:16" ht="19.5" customHeight="1" x14ac:dyDescent="0.2">
      <c r="A33" s="3"/>
      <c r="B33" s="3"/>
      <c r="C33" s="3"/>
      <c r="D33" s="26"/>
      <c r="E33" s="3"/>
      <c r="F33" s="3"/>
      <c r="G33" s="27"/>
      <c r="H33" s="27"/>
      <c r="I33" s="3"/>
      <c r="J33" s="3"/>
      <c r="K33" s="3"/>
      <c r="L33" s="3"/>
      <c r="M33" s="3"/>
      <c r="N33" s="3"/>
      <c r="O33" s="3"/>
      <c r="P33" s="3"/>
    </row>
    <row r="34" spans="1:16" ht="19.5" customHeight="1" x14ac:dyDescent="0.2">
      <c r="A34" s="3"/>
      <c r="B34" s="3"/>
      <c r="C34" s="95"/>
      <c r="D34" s="58"/>
      <c r="E34" s="54"/>
      <c r="F34" s="30"/>
      <c r="G34" s="95"/>
      <c r="H34" s="58"/>
      <c r="I34" s="54"/>
      <c r="J34" s="54"/>
      <c r="K34" s="30"/>
      <c r="L34" s="95"/>
      <c r="M34" s="96"/>
      <c r="N34" s="54"/>
      <c r="O34" s="54"/>
      <c r="P34" s="3"/>
    </row>
    <row r="35" spans="1:16" ht="19.5" customHeight="1" x14ac:dyDescent="0.2">
      <c r="A35" s="3"/>
      <c r="B35" s="3"/>
      <c r="C35" s="54"/>
      <c r="D35" s="54"/>
      <c r="E35" s="54"/>
      <c r="F35" s="30"/>
      <c r="G35" s="54"/>
      <c r="H35" s="54"/>
      <c r="I35" s="54"/>
      <c r="J35" s="54"/>
      <c r="K35" s="30"/>
      <c r="L35" s="54"/>
      <c r="M35" s="54"/>
      <c r="N35" s="54"/>
      <c r="O35" s="54"/>
      <c r="P35" s="3"/>
    </row>
    <row r="36" spans="1:16" ht="19.5" customHeight="1" x14ac:dyDescent="0.2">
      <c r="A36" s="3"/>
      <c r="B36" s="3"/>
      <c r="C36" s="54"/>
      <c r="D36" s="54"/>
      <c r="E36" s="54"/>
      <c r="F36" s="30"/>
      <c r="G36" s="54"/>
      <c r="H36" s="54"/>
      <c r="I36" s="54"/>
      <c r="J36" s="54"/>
      <c r="K36" s="30"/>
      <c r="L36" s="54"/>
      <c r="M36" s="54"/>
      <c r="N36" s="54"/>
      <c r="O36" s="54"/>
      <c r="P36" s="3"/>
    </row>
    <row r="37" spans="1:16" ht="19.5" customHeight="1" x14ac:dyDescent="0.2">
      <c r="A37" s="3"/>
      <c r="B37" s="3"/>
      <c r="C37" s="3"/>
      <c r="D37" s="3"/>
      <c r="E37" s="3"/>
      <c r="F37" s="3"/>
      <c r="G37" s="27"/>
      <c r="H37" s="27"/>
      <c r="I37" s="27"/>
      <c r="J37" s="3"/>
      <c r="K37" s="3"/>
      <c r="L37" s="3"/>
      <c r="M37" s="3"/>
      <c r="N37" s="3"/>
      <c r="O37" s="3"/>
      <c r="P37" s="3"/>
    </row>
    <row r="38" spans="1:16" ht="19.5" customHeight="1" x14ac:dyDescent="0.2">
      <c r="B38" s="3"/>
      <c r="C38" s="99"/>
      <c r="D38" s="54"/>
      <c r="E38" s="97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3"/>
    </row>
    <row r="39" spans="1:16" ht="19.5" customHeight="1" x14ac:dyDescent="0.2">
      <c r="B39" s="3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3"/>
    </row>
    <row r="40" spans="1:16" ht="19.5" customHeight="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9.5" customHeight="1" x14ac:dyDescent="0.2">
      <c r="A41" s="3"/>
      <c r="B41" s="3"/>
      <c r="C41" s="95"/>
      <c r="D41" s="54"/>
      <c r="E41" s="100"/>
      <c r="F41" s="54"/>
      <c r="G41" s="54"/>
      <c r="H41" s="54"/>
      <c r="I41" s="3"/>
      <c r="J41" s="95"/>
      <c r="K41" s="54"/>
      <c r="L41" s="58"/>
      <c r="M41" s="54"/>
      <c r="N41" s="54"/>
      <c r="O41" s="54"/>
      <c r="P41" s="3"/>
    </row>
    <row r="42" spans="1:16" ht="19.5" customHeight="1" x14ac:dyDescent="0.2">
      <c r="A42" s="3"/>
      <c r="B42" s="3"/>
      <c r="C42" s="54"/>
      <c r="D42" s="54"/>
      <c r="E42" s="54"/>
      <c r="F42" s="54"/>
      <c r="G42" s="54"/>
      <c r="H42" s="54"/>
      <c r="I42" s="3"/>
      <c r="J42" s="54"/>
      <c r="K42" s="54"/>
      <c r="L42" s="54"/>
      <c r="M42" s="54"/>
      <c r="N42" s="54"/>
      <c r="O42" s="54"/>
      <c r="P42" s="3"/>
    </row>
    <row r="43" spans="1:16" ht="19.5" customHeight="1" x14ac:dyDescent="0.2">
      <c r="A43" s="3"/>
      <c r="B43" s="3"/>
      <c r="C43" s="54"/>
      <c r="D43" s="54"/>
      <c r="E43" s="54"/>
      <c r="F43" s="54"/>
      <c r="G43" s="54"/>
      <c r="H43" s="54"/>
      <c r="I43" s="3"/>
      <c r="J43" s="54"/>
      <c r="K43" s="54"/>
      <c r="L43" s="54"/>
      <c r="M43" s="54"/>
      <c r="N43" s="54"/>
      <c r="O43" s="54"/>
      <c r="P43" s="3"/>
    </row>
    <row r="44" spans="1:16" ht="19.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ht="19.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9.5" customHeight="1" x14ac:dyDescent="0.35">
      <c r="A46" s="3"/>
      <c r="B46" s="61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</row>
    <row r="47" spans="1:16" ht="19.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9.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9.5" customHeight="1" x14ac:dyDescent="0.25">
      <c r="A49" s="3"/>
      <c r="B49" s="3"/>
      <c r="C49" s="31"/>
      <c r="D49" s="3"/>
      <c r="E49" s="53"/>
      <c r="F49" s="54"/>
      <c r="G49" s="3"/>
      <c r="H49" s="53"/>
      <c r="I49" s="54"/>
      <c r="J49" s="3"/>
      <c r="K49" s="3"/>
      <c r="L49" s="3"/>
      <c r="M49" s="3"/>
      <c r="N49" s="3"/>
      <c r="O49" s="3"/>
      <c r="P49" s="3"/>
    </row>
    <row r="50" spans="1:16" ht="19.5" customHeight="1" x14ac:dyDescent="0.25">
      <c r="A50" s="3"/>
      <c r="B50" s="3"/>
      <c r="C50" s="32"/>
      <c r="D50" s="3"/>
      <c r="E50" s="63"/>
      <c r="F50" s="54"/>
      <c r="G50" s="3"/>
      <c r="H50" s="98"/>
      <c r="I50" s="54"/>
      <c r="J50" s="3"/>
      <c r="K50" s="3"/>
      <c r="L50" s="3"/>
      <c r="M50" s="3"/>
      <c r="N50" s="3"/>
      <c r="O50" s="3"/>
      <c r="P50" s="3"/>
    </row>
    <row r="51" spans="1:16" ht="19.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ht="19.5" customHeight="1" x14ac:dyDescent="0.25">
      <c r="A52" s="3"/>
      <c r="B52" s="3"/>
      <c r="C52" s="31"/>
      <c r="D52" s="3"/>
      <c r="E52" s="53"/>
      <c r="F52" s="54"/>
      <c r="G52" s="3"/>
      <c r="H52" s="53"/>
      <c r="I52" s="54"/>
      <c r="J52" s="3"/>
      <c r="K52" s="3"/>
      <c r="L52" s="3"/>
      <c r="M52" s="3"/>
      <c r="N52" s="3"/>
      <c r="O52" s="3"/>
      <c r="P52" s="3"/>
    </row>
    <row r="53" spans="1:16" ht="15.75" customHeight="1" x14ac:dyDescent="0.25">
      <c r="A53" s="3"/>
      <c r="B53" s="3"/>
      <c r="C53" s="32"/>
      <c r="D53" s="3"/>
      <c r="E53" s="63"/>
      <c r="F53" s="54"/>
      <c r="G53" s="3"/>
      <c r="H53" s="63"/>
      <c r="I53" s="54"/>
      <c r="J53" s="3"/>
      <c r="K53" s="3"/>
      <c r="L53" s="3"/>
      <c r="M53" s="3"/>
      <c r="N53" s="3"/>
      <c r="O53" s="3"/>
      <c r="P53" s="3"/>
    </row>
    <row r="54" spans="1:1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ht="15.75" customHeight="1" x14ac:dyDescent="0.2">
      <c r="A55" s="3"/>
      <c r="B55" s="3"/>
      <c r="C55" s="53"/>
      <c r="D55" s="58"/>
      <c r="E55" s="54"/>
      <c r="F55" s="3"/>
      <c r="G55" s="53"/>
      <c r="H55" s="59"/>
      <c r="I55" s="54"/>
      <c r="J55" s="54"/>
      <c r="K55" s="3"/>
      <c r="L55" s="53"/>
      <c r="M55" s="55"/>
      <c r="N55" s="54"/>
      <c r="O55" s="54"/>
      <c r="P55" s="3"/>
    </row>
    <row r="56" spans="1:16" ht="15.75" customHeight="1" x14ac:dyDescent="0.2">
      <c r="A56" s="3"/>
      <c r="B56" s="3"/>
      <c r="C56" s="54"/>
      <c r="D56" s="54"/>
      <c r="E56" s="54"/>
      <c r="F56" s="3"/>
      <c r="G56" s="54"/>
      <c r="H56" s="54"/>
      <c r="I56" s="54"/>
      <c r="J56" s="54"/>
      <c r="K56" s="3"/>
      <c r="L56" s="54"/>
      <c r="M56" s="54"/>
      <c r="N56" s="54"/>
      <c r="O56" s="54"/>
      <c r="P56" s="3"/>
    </row>
    <row r="57" spans="1:16" ht="15.75" customHeight="1" x14ac:dyDescent="0.2">
      <c r="A57" s="3"/>
      <c r="B57" s="3"/>
      <c r="C57" s="54"/>
      <c r="D57" s="54"/>
      <c r="E57" s="54"/>
      <c r="F57" s="3"/>
      <c r="G57" s="54"/>
      <c r="H57" s="54"/>
      <c r="I57" s="54"/>
      <c r="J57" s="54"/>
      <c r="K57" s="3"/>
      <c r="L57" s="54"/>
      <c r="M57" s="54"/>
      <c r="N57" s="54"/>
      <c r="O57" s="54"/>
      <c r="P57" s="3"/>
    </row>
    <row r="58" spans="1:1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.75" customHeight="1" x14ac:dyDescent="0.2">
      <c r="A59" s="3"/>
      <c r="B59" s="3"/>
      <c r="C59" s="57"/>
      <c r="D59" s="54"/>
      <c r="E59" s="56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3"/>
    </row>
    <row r="60" spans="1:16" ht="15.75" customHeight="1" x14ac:dyDescent="0.2">
      <c r="A60" s="3"/>
      <c r="B60" s="3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3"/>
    </row>
    <row r="61" spans="1:1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ht="15.75" customHeight="1" x14ac:dyDescent="0.2">
      <c r="A62" s="3"/>
      <c r="B62" s="3"/>
      <c r="C62" s="53"/>
      <c r="D62" s="54"/>
      <c r="E62" s="62"/>
      <c r="F62" s="54"/>
      <c r="G62" s="54"/>
      <c r="H62" s="54"/>
      <c r="I62" s="3"/>
      <c r="J62" s="53"/>
      <c r="K62" s="54"/>
      <c r="L62" s="60"/>
      <c r="M62" s="54"/>
      <c r="N62" s="54"/>
      <c r="O62" s="54"/>
      <c r="P62" s="3"/>
    </row>
    <row r="63" spans="1:16" ht="15.75" customHeight="1" x14ac:dyDescent="0.2">
      <c r="A63" s="3"/>
      <c r="B63" s="3"/>
      <c r="C63" s="54"/>
      <c r="D63" s="54"/>
      <c r="E63" s="54"/>
      <c r="F63" s="54"/>
      <c r="G63" s="54"/>
      <c r="H63" s="54"/>
      <c r="I63" s="3"/>
      <c r="J63" s="54"/>
      <c r="K63" s="54"/>
      <c r="L63" s="54"/>
      <c r="M63" s="54"/>
      <c r="N63" s="54"/>
      <c r="O63" s="54"/>
      <c r="P63" s="3"/>
    </row>
    <row r="64" spans="1:16" ht="15.75" customHeight="1" x14ac:dyDescent="0.2">
      <c r="A64" s="3"/>
      <c r="B64" s="3"/>
      <c r="C64" s="54"/>
      <c r="D64" s="54"/>
      <c r="E64" s="54"/>
      <c r="F64" s="54"/>
      <c r="G64" s="54"/>
      <c r="H64" s="54"/>
      <c r="I64" s="3"/>
      <c r="J64" s="54"/>
      <c r="K64" s="54"/>
      <c r="L64" s="54"/>
      <c r="M64" s="54"/>
      <c r="N64" s="54"/>
      <c r="O64" s="54"/>
      <c r="P64" s="3"/>
    </row>
    <row r="65" spans="1:1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ht="15.75" customHeight="1" x14ac:dyDescent="0.2"/>
    <row r="67" spans="1:16" ht="9.75" customHeight="1" x14ac:dyDescent="0.35">
      <c r="A67" s="3"/>
      <c r="B67" s="61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</row>
    <row r="68" spans="1:16" ht="27" customHeight="1" x14ac:dyDescent="0.35">
      <c r="A68" s="3"/>
      <c r="B68" s="61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</row>
    <row r="69" spans="1:1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5.75" customHeight="1" x14ac:dyDescent="0.25">
      <c r="A71" s="3"/>
      <c r="B71" s="3"/>
      <c r="C71" s="31"/>
      <c r="D71" s="3"/>
      <c r="E71" s="53"/>
      <c r="F71" s="54"/>
      <c r="G71" s="3"/>
      <c r="H71" s="53"/>
      <c r="I71" s="54"/>
      <c r="J71" s="3"/>
      <c r="K71" s="3"/>
      <c r="L71" s="3"/>
      <c r="M71" s="3"/>
      <c r="N71" s="3"/>
      <c r="O71" s="3"/>
      <c r="P71" s="3"/>
    </row>
    <row r="72" spans="1:16" ht="15.75" customHeight="1" x14ac:dyDescent="0.25">
      <c r="A72" s="3"/>
      <c r="B72" s="3"/>
      <c r="C72" s="31"/>
      <c r="D72" s="3"/>
      <c r="E72" s="53"/>
      <c r="F72" s="54"/>
      <c r="G72" s="3"/>
      <c r="H72" s="53"/>
      <c r="I72" s="54"/>
      <c r="J72" s="3"/>
      <c r="K72" s="3"/>
      <c r="L72" s="3"/>
      <c r="M72" s="3"/>
      <c r="N72" s="3"/>
      <c r="O72" s="3"/>
      <c r="P72" s="3"/>
    </row>
    <row r="73" spans="1:16" ht="15.75" customHeight="1" x14ac:dyDescent="0.25">
      <c r="A73" s="3"/>
      <c r="B73" s="3"/>
      <c r="C73" s="32"/>
      <c r="D73" s="3"/>
      <c r="E73" s="63"/>
      <c r="F73" s="54"/>
      <c r="G73" s="3"/>
      <c r="H73" s="63"/>
      <c r="I73" s="54"/>
      <c r="J73" s="3"/>
      <c r="K73" s="3"/>
      <c r="L73" s="3"/>
      <c r="M73" s="3"/>
      <c r="N73" s="3"/>
      <c r="O73" s="3"/>
      <c r="P73" s="3"/>
    </row>
    <row r="74" spans="1:1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ht="15.75" customHeight="1" x14ac:dyDescent="0.2">
      <c r="A75" s="3"/>
      <c r="B75" s="3"/>
      <c r="C75" s="53"/>
      <c r="D75" s="65"/>
      <c r="E75" s="54"/>
      <c r="F75" s="3"/>
      <c r="G75" s="53"/>
      <c r="H75" s="59"/>
      <c r="I75" s="54"/>
      <c r="J75" s="54"/>
      <c r="K75" s="3"/>
      <c r="L75" s="53"/>
      <c r="M75" s="55"/>
      <c r="N75" s="54"/>
      <c r="O75" s="54"/>
      <c r="P75" s="3"/>
    </row>
    <row r="76" spans="1:16" ht="15.75" customHeight="1" x14ac:dyDescent="0.2">
      <c r="A76" s="3"/>
      <c r="B76" s="3"/>
      <c r="C76" s="54"/>
      <c r="D76" s="54"/>
      <c r="E76" s="54"/>
      <c r="F76" s="3"/>
      <c r="G76" s="54"/>
      <c r="H76" s="54"/>
      <c r="I76" s="54"/>
      <c r="J76" s="54"/>
      <c r="K76" s="3"/>
      <c r="L76" s="54"/>
      <c r="M76" s="54"/>
      <c r="N76" s="54"/>
      <c r="O76" s="54"/>
      <c r="P76" s="3"/>
    </row>
    <row r="77" spans="1:16" ht="15.75" customHeight="1" x14ac:dyDescent="0.2">
      <c r="A77" s="3"/>
      <c r="B77" s="3"/>
      <c r="C77" s="54"/>
      <c r="D77" s="54"/>
      <c r="E77" s="54"/>
      <c r="F77" s="3"/>
      <c r="G77" s="54"/>
      <c r="H77" s="54"/>
      <c r="I77" s="54"/>
      <c r="J77" s="54"/>
      <c r="K77" s="3"/>
      <c r="L77" s="54"/>
      <c r="M77" s="54"/>
      <c r="N77" s="54"/>
      <c r="O77" s="54"/>
      <c r="P77" s="3"/>
    </row>
    <row r="78" spans="1:1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ht="15.75" customHeight="1" x14ac:dyDescent="0.2">
      <c r="A79" s="3"/>
      <c r="B79" s="3"/>
      <c r="C79" s="57"/>
      <c r="D79" s="54"/>
      <c r="E79" s="56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3"/>
    </row>
    <row r="80" spans="1:16" ht="15.75" customHeight="1" x14ac:dyDescent="0.2">
      <c r="A80" s="3"/>
      <c r="B80" s="3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3"/>
    </row>
    <row r="81" spans="1:1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5.75" customHeight="1" x14ac:dyDescent="0.2">
      <c r="A82" s="3"/>
      <c r="B82" s="3"/>
      <c r="C82" s="53"/>
      <c r="D82" s="54"/>
      <c r="E82" s="62"/>
      <c r="F82" s="54"/>
      <c r="G82" s="54"/>
      <c r="H82" s="54"/>
      <c r="I82" s="3"/>
      <c r="J82" s="53"/>
      <c r="K82" s="54"/>
      <c r="L82" s="64"/>
      <c r="M82" s="54"/>
      <c r="N82" s="54"/>
      <c r="O82" s="54"/>
      <c r="P82" s="3"/>
    </row>
    <row r="83" spans="1:16" ht="15.75" customHeight="1" x14ac:dyDescent="0.2">
      <c r="A83" s="3"/>
      <c r="B83" s="3"/>
      <c r="C83" s="54"/>
      <c r="D83" s="54"/>
      <c r="E83" s="54"/>
      <c r="F83" s="54"/>
      <c r="G83" s="54"/>
      <c r="H83" s="54"/>
      <c r="I83" s="3"/>
      <c r="J83" s="54"/>
      <c r="K83" s="54"/>
      <c r="L83" s="54"/>
      <c r="M83" s="54"/>
      <c r="N83" s="54"/>
      <c r="O83" s="54"/>
      <c r="P83" s="3"/>
    </row>
    <row r="84" spans="1:16" ht="15.75" customHeight="1" x14ac:dyDescent="0.2">
      <c r="A84" s="3"/>
      <c r="B84" s="3"/>
      <c r="C84" s="54"/>
      <c r="D84" s="54"/>
      <c r="E84" s="54"/>
      <c r="F84" s="54"/>
      <c r="G84" s="54"/>
      <c r="H84" s="54"/>
      <c r="I84" s="3"/>
      <c r="J84" s="54"/>
      <c r="K84" s="54"/>
      <c r="L84" s="54"/>
      <c r="M84" s="54"/>
      <c r="N84" s="54"/>
      <c r="O84" s="54"/>
      <c r="P84" s="3"/>
    </row>
    <row r="85" spans="1:16" ht="15.75" customHeight="1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ht="15.75" customHeight="1" x14ac:dyDescent="0.2">
      <c r="A86" s="3"/>
    </row>
    <row r="87" spans="1:16" ht="21" x14ac:dyDescent="0.35">
      <c r="A87" s="3"/>
      <c r="B87" s="61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</row>
    <row r="88" spans="1:1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ht="15.75" customHeight="1" x14ac:dyDescent="0.25">
      <c r="A90" s="3"/>
      <c r="B90" s="3"/>
      <c r="C90" s="31"/>
      <c r="D90" s="3"/>
      <c r="E90" s="53"/>
      <c r="F90" s="54"/>
      <c r="G90" s="3"/>
      <c r="H90" s="53"/>
      <c r="I90" s="54"/>
      <c r="J90" s="3"/>
      <c r="K90" s="3"/>
      <c r="L90" s="3"/>
      <c r="M90" s="3"/>
      <c r="N90" s="3"/>
      <c r="O90" s="3"/>
      <c r="P90" s="3"/>
    </row>
    <row r="91" spans="1:16" ht="15.75" customHeight="1" x14ac:dyDescent="0.25">
      <c r="A91" s="3"/>
      <c r="B91" s="3"/>
      <c r="C91" s="32"/>
      <c r="D91" s="3"/>
      <c r="E91" s="63"/>
      <c r="F91" s="54"/>
      <c r="G91" s="3"/>
      <c r="H91" s="63"/>
      <c r="I91" s="54"/>
      <c r="J91" s="3"/>
      <c r="K91" s="3"/>
      <c r="L91" s="3"/>
      <c r="M91" s="3"/>
      <c r="N91" s="3"/>
      <c r="O91" s="3"/>
      <c r="P91" s="3"/>
    </row>
    <row r="92" spans="1:1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ht="15.75" customHeight="1" x14ac:dyDescent="0.2">
      <c r="A93" s="3"/>
      <c r="B93" s="3"/>
      <c r="C93" s="53"/>
      <c r="D93" s="59"/>
      <c r="E93" s="54"/>
      <c r="F93" s="3"/>
      <c r="G93" s="53"/>
      <c r="H93" s="59"/>
      <c r="I93" s="54"/>
      <c r="J93" s="54"/>
      <c r="K93" s="3"/>
      <c r="L93" s="53"/>
      <c r="M93" s="66"/>
      <c r="N93" s="54"/>
      <c r="O93" s="54"/>
      <c r="P93" s="3"/>
    </row>
    <row r="94" spans="1:16" ht="15.75" customHeight="1" x14ac:dyDescent="0.2">
      <c r="A94" s="3"/>
      <c r="B94" s="3"/>
      <c r="C94" s="54"/>
      <c r="D94" s="54"/>
      <c r="E94" s="54"/>
      <c r="F94" s="3"/>
      <c r="G94" s="54"/>
      <c r="H94" s="54"/>
      <c r="I94" s="54"/>
      <c r="J94" s="54"/>
      <c r="K94" s="3"/>
      <c r="L94" s="54"/>
      <c r="M94" s="54"/>
      <c r="N94" s="54"/>
      <c r="O94" s="54"/>
      <c r="P94" s="3"/>
    </row>
    <row r="95" spans="1:16" ht="15.75" customHeight="1" x14ac:dyDescent="0.2">
      <c r="A95" s="3"/>
      <c r="B95" s="3"/>
      <c r="C95" s="54"/>
      <c r="D95" s="54"/>
      <c r="E95" s="54"/>
      <c r="F95" s="3"/>
      <c r="G95" s="54"/>
      <c r="H95" s="54"/>
      <c r="I95" s="54"/>
      <c r="J95" s="54"/>
      <c r="K95" s="3"/>
      <c r="L95" s="54"/>
      <c r="M95" s="54"/>
      <c r="N95" s="54"/>
      <c r="O95" s="54"/>
      <c r="P95" s="3"/>
    </row>
    <row r="96" spans="1:1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ht="15.75" customHeight="1" x14ac:dyDescent="0.2">
      <c r="A97" s="3"/>
      <c r="B97" s="3"/>
      <c r="C97" s="57"/>
      <c r="D97" s="54"/>
      <c r="E97" s="56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3"/>
    </row>
    <row r="98" spans="1:16" ht="15.75" customHeight="1" x14ac:dyDescent="0.2">
      <c r="A98" s="3"/>
      <c r="B98" s="3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3"/>
    </row>
    <row r="99" spans="1:16" ht="15.75" customHeight="1" x14ac:dyDescent="0.2">
      <c r="A99" s="3"/>
      <c r="B99" s="3"/>
      <c r="C99" s="3"/>
      <c r="D99" s="3"/>
      <c r="E99" s="33"/>
      <c r="F99" s="33"/>
      <c r="G99" s="33"/>
      <c r="H99" s="33"/>
      <c r="I99" s="3"/>
      <c r="J99" s="3"/>
      <c r="K99" s="3"/>
      <c r="L99" s="3"/>
      <c r="M99" s="3"/>
      <c r="N99" s="3"/>
      <c r="O99" s="3"/>
      <c r="P99" s="3"/>
    </row>
    <row r="100" spans="1:16" ht="15.75" customHeight="1" x14ac:dyDescent="0.2">
      <c r="A100" s="3"/>
      <c r="B100" s="3"/>
      <c r="C100" s="53"/>
      <c r="D100" s="54"/>
      <c r="E100" s="67"/>
      <c r="F100" s="54"/>
      <c r="G100" s="54"/>
      <c r="H100" s="54"/>
      <c r="I100" s="3"/>
      <c r="J100" s="53"/>
      <c r="K100" s="54"/>
      <c r="L100" s="64"/>
      <c r="M100" s="54"/>
      <c r="N100" s="54"/>
      <c r="O100" s="54"/>
      <c r="P100" s="3"/>
    </row>
    <row r="101" spans="1:16" ht="15.75" customHeight="1" x14ac:dyDescent="0.2">
      <c r="A101" s="3"/>
      <c r="B101" s="3"/>
      <c r="C101" s="54"/>
      <c r="D101" s="54"/>
      <c r="E101" s="54"/>
      <c r="F101" s="54"/>
      <c r="G101" s="54"/>
      <c r="H101" s="54"/>
      <c r="I101" s="3"/>
      <c r="J101" s="54"/>
      <c r="K101" s="54"/>
      <c r="L101" s="54"/>
      <c r="M101" s="54"/>
      <c r="N101" s="54"/>
      <c r="O101" s="54"/>
      <c r="P101" s="3"/>
    </row>
    <row r="102" spans="1:16" ht="15.75" customHeight="1" x14ac:dyDescent="0.2">
      <c r="A102" s="3"/>
      <c r="B102" s="3"/>
      <c r="C102" s="54"/>
      <c r="D102" s="54"/>
      <c r="E102" s="54"/>
      <c r="F102" s="54"/>
      <c r="G102" s="54"/>
      <c r="H102" s="54"/>
      <c r="I102" s="3"/>
      <c r="J102" s="54"/>
      <c r="K102" s="54"/>
      <c r="L102" s="54"/>
      <c r="M102" s="54"/>
      <c r="N102" s="54"/>
      <c r="O102" s="54"/>
      <c r="P102" s="3"/>
    </row>
    <row r="103" spans="1:16" ht="15.75" customHeight="1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ht="15.75" customHeight="1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ht="15.75" customHeight="1" x14ac:dyDescent="0.35">
      <c r="B105" s="61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Kevin Andrès Cañola Marquez</cp:lastModifiedBy>
  <dcterms:created xsi:type="dcterms:W3CDTF">2019-10-21T15:37:14Z</dcterms:created>
  <dcterms:modified xsi:type="dcterms:W3CDTF">2025-11-13T16:51:06Z</dcterms:modified>
</cp:coreProperties>
</file>