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13_ncr:1_{EAE4CF5A-0B31-4A45-AE5D-D52B5AD5C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<sst xmlns="http://schemas.openxmlformats.org/spreadsheetml/2006/main" count="180" uniqueCount="127">
  <si>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</si>
  <si>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</si>
  <si>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</si>
  <si>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</si>
  <si>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</si>
  <si>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</si>
  <si>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</si>
  <si>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</si>
  <si>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</si>
  <si>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</si>
  <si>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</si>
  <si>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</si>
  <si>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</si>
  <si>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</si>
  <si>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</si>
  <si>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</si>
  <si>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</si>
  <si>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</si>
  <si>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</si>
  <si>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</si>
  <si>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</si>
  <si>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</si>
  <si>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</si>
  <si>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</si>
  <si>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</si>
  <si>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</si>
  <si>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</si>
  <si>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</si>
  <si>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</si>
  <si>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</si>
  <si>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</si>
  <si>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</si>
  <si>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</si>
  <si>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</si>
  <si>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</si>
  <si>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</si>
  <si>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</si>
  <si>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</si>
  <si>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</si>
  <si>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</si>
  <si>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</si>
  <si>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</si>
  <si>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</si>
  <si>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</si>
  <si>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</si>
  <si>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</si>
  <si>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</si>
  <si>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</si>
  <si>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</si>
  <si>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</si>
  <si>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</si>
  <si>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</si>
  <si>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</si>
  <si>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</si>
  <si>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</si>
  <si>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</si>
  <si>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</si>
  <si>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</si>
  <si>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</si>
  <si>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</si>
  <si>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</si>
  <si>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</si>
  <si>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</si>
  <si>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</si>
  <si>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</si>
  <si>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</si>
  <si>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</si>
  <si>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</si>
  <si>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</si>
  <si>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</si>
  <si>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</si>
  <si>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</si>
  <si>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</si>
  <si>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</si>
  <si>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</si>
  <si>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</si>
  <si>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</si>
  <si>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</si>
  <si>
    <t>REQ007</t>
  </si>
  <si>
    <t>Historial de proformas</t>
  </si>
  <si>
    <t>El sistema deberá almacenar un historial de proformas.</t>
  </si>
  <si>
    <t>Para consultar proformas generadas anteriormente.</t>
  </si>
  <si>
    <t>Se creará una tabla Proformas en SQL Server.
Desde una vista desarrollada en Visual Studio 2026 se mostrará un DataGrid con filtros por fecha y cliente. Se permitirá descargar la proforma en PDF.</t>
  </si>
  <si>
    <t>Las proformas creadas aparecen en el listado y pueden abrirse nuevamente.</t>
  </si>
  <si>
    <t>Consulta de historial de proformas</t>
  </si>
  <si>
    <t>REQ008</t>
  </si>
  <si>
    <t>REQ009</t>
  </si>
  <si>
    <t>Envío de proformas por correo electrónico</t>
  </si>
  <si>
    <t>El sistema deberá enviar proformas por correo electrónico.</t>
  </si>
  <si>
    <t>Para entregar cotizaciones de forma digital.</t>
  </si>
  <si>
    <t>Se usará la librería SMTP de .NET para enviar correos desde Visual Studio 2026.
La proforma se generará en PDF y se adjuntará al correo del cliente registrado.</t>
  </si>
  <si>
    <t>El cliente recibe el correo con el PDF adjunto correctamente.</t>
  </si>
  <si>
    <t>Envío de proformas por email</t>
  </si>
  <si>
    <t>Administrador / Cliente</t>
  </si>
  <si>
    <t>Envío del catálogo</t>
  </si>
  <si>
    <t>El sistema deberá enviar automáticamente el catálogo de productos al correo del cliente luego de ser registrado.</t>
  </si>
  <si>
    <t>Para facilitar al cliente el acceso inmediato al catálogo de productos y mejorar la atención comercial.</t>
  </si>
  <si>
    <t>El correo incluirá el catálogo completo de productos incrustado en el cuerpo del mensaje, mostrando nombre del producto, descripción, precio y disponibilidad.</t>
  </si>
  <si>
    <t>Al registrar un cliente, el sistema envía automáticamente un correo que muestra correctamente el catálogo con productos y precios dentro del cuerpo del mensaje, y el código QR se visualiza y puede escanearse sin errores.</t>
  </si>
  <si>
    <t>REQ010</t>
  </si>
  <si>
    <t>REQ011</t>
  </si>
  <si>
    <t>REQ012</t>
  </si>
  <si>
    <t>REQ013</t>
  </si>
  <si>
    <t>Registro de producto</t>
  </si>
  <si>
    <t>El sistema deberá permitir registrar nuevos productos con sus datos principales.</t>
  </si>
  <si>
    <t>Para mantener un inventario actualizado y facilitar la gestión de ventas y stock.</t>
  </si>
  <si>
    <t>Se implementará un formulario que permitirá guardar el nombre del producto, código, categoría, precio de compra, precio de venta, stock y descripción.</t>
  </si>
  <si>
    <t>El registro de un producto únicamente podrá completarse cuando todos los datos requeridos estén llenos. Si falta información, la plataforma evitará guardar el formulario y mostrará un mensaje de advertencia.</t>
  </si>
  <si>
    <t>Registro de productos</t>
  </si>
  <si>
    <t>Búsqueda de producto</t>
  </si>
  <si>
    <t>El sistema deberá permitir buscar productos por nombre o código.</t>
  </si>
  <si>
    <t>Para localizar rápidamente la información de productos registrados en el inventario.</t>
  </si>
  <si>
    <t>Se implementará un formulario de búsqueda que filtrará los productos según el nombre o código ingresado.</t>
  </si>
  <si>
    <t>El sistema deberá mostrar únicamente los productos que coincidan con el dato buscado. Si no existe coincidencia, se mostrará el mensaje “producto no encontrado”.</t>
  </si>
  <si>
    <t>Búsqueda de productos</t>
  </si>
  <si>
    <t>Modificación de producto</t>
  </si>
  <si>
    <t>El sistema deberá permitir modificar la información de un producto previamente registrado.</t>
  </si>
  <si>
    <t>Para mantener actualizados los datos del producto (nombre, precios, stock, categoría y descripción).</t>
  </si>
  <si>
    <t>Desde el formulario de búsqueda de productos se permitirá seleccionar un producto y editar su información.</t>
  </si>
  <si>
    <t>Desde el módulo de búsqueda, el Administrador podrá seleccionar un producto y acceder a la opción “Modificar”, donde podrá actualizar los datos y guardarlos nuevamente en la base de datos.</t>
  </si>
  <si>
    <t>Modificación de productos</t>
  </si>
  <si>
    <t>Eliminación de productos</t>
  </si>
  <si>
    <t>Desde el módulo de búsqueda, el Administrador podrá seleccionar un producto y usar la opción “Eliminar”, confirmando la acción para removerlo definitivamente de la base de datos.</t>
  </si>
  <si>
    <t>Desde el formulario de búsqueda de productos se permitirá eliminar el producto seleccionado.</t>
  </si>
  <si>
    <t>Para mantener el inventario limpio y sin productos obsoletos o descontinuados.</t>
  </si>
  <si>
    <t>El sistema deberá permitir eliminar productos registrados de manera permanente.</t>
  </si>
  <si>
    <t>Eliminación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</si>
</sst>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0" fillId="5" borderId="6" xfId="0" applyFont="1" applyFill="1" applyBorder="1"/>
    <xf numFmtId="0" fontId="11" fillId="5" borderId="7" xfId="0" applyFont="1" applyFill="1" applyBorder="1" applyAlignment="1">
      <alignment horizontal="left" vertical="center" wrapText="1"/>
    </xf>
    <xf numFmtId="0" fontId="12" fillId="5" borderId="7" xfId="0" applyFont="1" applyFill="1" applyBorder="1"/>
    <xf numFmtId="0" fontId="10" fillId="5" borderId="7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4" fillId="6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0" xfId="0" applyFont="1" applyFill="1" applyBorder="1"/>
    <xf numFmtId="0" fontId="16" fillId="3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8" xfId="0" applyFont="1" applyFill="1" applyBorder="1"/>
    <xf numFmtId="0" fontId="10" fillId="5" borderId="29" xfId="0" applyFont="1" applyFill="1" applyBorder="1"/>
    <xf numFmtId="0" fontId="10" fillId="5" borderId="30" xfId="0" applyFont="1" applyFill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10" fillId="0" borderId="0" xfId="0" applyNumberFormat="1" applyFont="1"/>
    <xf numFmtId="0" fontId="2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4" fillId="3" borderId="31" xfId="0" applyNumberFormat="1" applyFont="1" applyFill="1" applyBorder="1" applyAlignment="1">
      <alignment horizontal="center" vertical="center" wrapText="1"/>
    </xf>
    <xf numFmtId="0" fontId="24" fillId="4" borderId="3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165" fontId="24" fillId="3" borderId="5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64" fontId="24" fillId="0" borderId="31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49" fontId="12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9" fillId="0" borderId="13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9" xfId="0" applyFont="1" applyBorder="1"/>
    <xf numFmtId="0" fontId="9" fillId="0" borderId="20" xfId="0" applyFont="1" applyBorder="1"/>
    <xf numFmtId="49" fontId="12" fillId="3" borderId="12" xfId="0" applyNumberFormat="1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21" xfId="0" applyFont="1" applyBorder="1"/>
    <xf numFmtId="0" fontId="12" fillId="3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8" xfId="0" applyFont="1" applyBorder="1"/>
    <xf numFmtId="0" fontId="12" fillId="3" borderId="12" xfId="0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17" fillId="8" borderId="12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9" fillId="0" borderId="3" xfId="0" applyFont="1" applyBorder="1"/>
    <xf numFmtId="0" fontId="12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49" fontId="12" fillId="0" borderId="0" xfId="0" applyNumberFormat="1" applyFont="1" applyAlignment="1">
      <alignment wrapText="1"/>
    </xf>
    <xf numFmtId="0" fontId="10" fillId="0" borderId="0" xfId="0" applyFont="1"/>
    <xf numFmtId="0" fontId="20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topLeftCell="B15" zoomScale="60" zoomScaleNormal="60" workbookViewId="0">
      <selection activeCell="G18" sqref="G18"/>
    </sheetView>
  </sheetViews>
  <sheetFormatPr baseColWidth="10" defaultColWidth="12.59765625" defaultRowHeight="134.25" customHeight="1" x14ac:dyDescent="0.25"/>
  <cols>
    <col min="1" max="1" width="4.59765625" style="35" customWidth="1"/>
    <col min="2" max="2" width="11.796875" style="35" customWidth="1"/>
    <col min="3" max="3" width="25.19921875" style="35" customWidth="1"/>
    <col min="4" max="4" width="31.09765625" style="35" customWidth="1"/>
    <col min="5" max="5" width="20.59765625" style="35" customWidth="1"/>
    <col min="6" max="6" width="13.09765625" style="35" customWidth="1"/>
    <col min="7" max="7" width="39.69921875" style="35" customWidth="1"/>
    <col min="8" max="12" width="10.59765625" style="35" customWidth="1"/>
    <col min="13" max="13" width="32.69921875" style="35" customWidth="1"/>
    <col min="14" max="15" width="20.59765625" style="35" customWidth="1"/>
    <col min="16" max="26" width="9.3984375" style="35" customWidth="1"/>
    <col min="27" max="16384" width="12.59765625" style="35"/>
  </cols>
  <sheetData>
    <row r="1" spans="1:26" ht="134.2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5">
      <c r="A3" s="34"/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5">
      <c r="A5" s="34"/>
      <c r="B5" s="46" t="s">
        <v>1</v>
      </c>
      <c r="C5" s="46" t="s">
        <v>2</v>
      </c>
      <c r="D5" s="46" t="s">
        <v>3</v>
      </c>
      <c r="E5" s="46" t="s">
        <v>4</v>
      </c>
      <c r="F5" s="46" t="s">
        <v>5</v>
      </c>
      <c r="G5" s="46" t="s">
        <v>6</v>
      </c>
      <c r="H5" s="46" t="s">
        <v>7</v>
      </c>
      <c r="I5" s="46" t="s">
        <v>8</v>
      </c>
      <c r="J5" s="46" t="s">
        <v>9</v>
      </c>
      <c r="K5" s="46" t="s">
        <v>10</v>
      </c>
      <c r="L5" s="46" t="s">
        <v>11</v>
      </c>
      <c r="M5" s="46" t="s">
        <v>12</v>
      </c>
      <c r="N5" s="46" t="s">
        <v>13</v>
      </c>
      <c r="O5" s="46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5">
      <c r="A6" s="50"/>
      <c r="B6" s="51" t="s">
        <v>15</v>
      </c>
      <c r="C6" s="51" t="s">
        <v>73</v>
      </c>
      <c r="D6" s="47" t="s">
        <v>51</v>
      </c>
      <c r="E6" s="47" t="s">
        <v>46</v>
      </c>
      <c r="F6" s="52" t="s">
        <v>36</v>
      </c>
      <c r="G6" s="53" t="s">
        <v>49</v>
      </c>
      <c r="H6" s="51" t="s">
        <v>38</v>
      </c>
      <c r="I6" s="51">
        <v>8</v>
      </c>
      <c r="J6" s="54">
        <v>45991</v>
      </c>
      <c r="K6" s="51" t="s">
        <v>16</v>
      </c>
      <c r="L6" s="51" t="s">
        <v>25</v>
      </c>
      <c r="M6" s="55" t="s">
        <v>56</v>
      </c>
      <c r="N6" s="51"/>
      <c r="O6" s="51" t="s">
        <v>45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34.25" customHeight="1" x14ac:dyDescent="0.25">
      <c r="A7" s="50"/>
      <c r="B7" s="51" t="s">
        <v>18</v>
      </c>
      <c r="C7" s="51" t="s">
        <v>42</v>
      </c>
      <c r="D7" s="47" t="s">
        <v>47</v>
      </c>
      <c r="E7" s="47" t="s">
        <v>52</v>
      </c>
      <c r="F7" s="51" t="s">
        <v>36</v>
      </c>
      <c r="G7" s="47" t="s">
        <v>74</v>
      </c>
      <c r="H7" s="51" t="s">
        <v>44</v>
      </c>
      <c r="I7" s="51">
        <v>8</v>
      </c>
      <c r="J7" s="54">
        <v>45991</v>
      </c>
      <c r="K7" s="51" t="s">
        <v>16</v>
      </c>
      <c r="L7" s="51" t="s">
        <v>25</v>
      </c>
      <c r="M7" s="55" t="s">
        <v>50</v>
      </c>
      <c r="N7" s="51"/>
      <c r="O7" s="51" t="s">
        <v>43</v>
      </c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34.25" customHeight="1" x14ac:dyDescent="0.25">
      <c r="A8" s="50"/>
      <c r="B8" s="51" t="s">
        <v>19</v>
      </c>
      <c r="C8" s="56" t="s">
        <v>75</v>
      </c>
      <c r="D8" s="47" t="s">
        <v>60</v>
      </c>
      <c r="E8" s="47" t="s">
        <v>58</v>
      </c>
      <c r="F8" s="51" t="s">
        <v>36</v>
      </c>
      <c r="G8" s="47" t="s">
        <v>76</v>
      </c>
      <c r="H8" s="51" t="s">
        <v>38</v>
      </c>
      <c r="I8" s="51">
        <v>8</v>
      </c>
      <c r="J8" s="54">
        <v>45992</v>
      </c>
      <c r="K8" s="51" t="s">
        <v>16</v>
      </c>
      <c r="L8" s="51" t="s">
        <v>25</v>
      </c>
      <c r="M8" s="55" t="s">
        <v>59</v>
      </c>
      <c r="N8" s="51"/>
      <c r="O8" s="56" t="s">
        <v>57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34.25" customHeight="1" x14ac:dyDescent="0.25">
      <c r="A9" s="50"/>
      <c r="B9" s="51" t="s">
        <v>20</v>
      </c>
      <c r="C9" s="56" t="s">
        <v>61</v>
      </c>
      <c r="D9" s="57" t="s">
        <v>62</v>
      </c>
      <c r="E9" s="58" t="s">
        <v>63</v>
      </c>
      <c r="F9" s="51" t="s">
        <v>36</v>
      </c>
      <c r="G9" s="47" t="s">
        <v>69</v>
      </c>
      <c r="H9" s="51" t="s">
        <v>39</v>
      </c>
      <c r="I9" s="51">
        <v>8</v>
      </c>
      <c r="J9" s="54">
        <v>45993</v>
      </c>
      <c r="K9" s="51" t="s">
        <v>16</v>
      </c>
      <c r="L9" s="51" t="s">
        <v>25</v>
      </c>
      <c r="M9" s="55" t="s">
        <v>70</v>
      </c>
      <c r="N9" s="51"/>
      <c r="O9" s="56" t="s">
        <v>64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34.25" customHeight="1" x14ac:dyDescent="0.25">
      <c r="A10" s="50"/>
      <c r="B10" s="51" t="s">
        <v>65</v>
      </c>
      <c r="C10" s="59" t="s">
        <v>66</v>
      </c>
      <c r="D10" s="47" t="s">
        <v>67</v>
      </c>
      <c r="E10" s="47" t="s">
        <v>68</v>
      </c>
      <c r="F10" s="51" t="s">
        <v>36</v>
      </c>
      <c r="G10" s="47" t="s">
        <v>77</v>
      </c>
      <c r="H10" s="51" t="s">
        <v>39</v>
      </c>
      <c r="I10" s="51">
        <v>8</v>
      </c>
      <c r="J10" s="54">
        <v>45994</v>
      </c>
      <c r="K10" s="51" t="s">
        <v>16</v>
      </c>
      <c r="L10" s="51" t="s">
        <v>25</v>
      </c>
      <c r="M10" s="55" t="s">
        <v>71</v>
      </c>
      <c r="N10" s="51"/>
      <c r="O10" s="47" t="s">
        <v>66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34.25" customHeight="1" x14ac:dyDescent="0.25">
      <c r="A11" s="36"/>
      <c r="B11" s="37" t="s">
        <v>72</v>
      </c>
      <c r="C11" s="37" t="s">
        <v>41</v>
      </c>
      <c r="D11" s="47" t="s">
        <v>53</v>
      </c>
      <c r="E11" s="47" t="s">
        <v>48</v>
      </c>
      <c r="F11" s="37" t="s">
        <v>36</v>
      </c>
      <c r="G11" s="48" t="s">
        <v>54</v>
      </c>
      <c r="H11" s="37" t="s">
        <v>40</v>
      </c>
      <c r="I11" s="37">
        <v>12</v>
      </c>
      <c r="J11" s="38">
        <v>45991</v>
      </c>
      <c r="K11" s="37" t="s">
        <v>16</v>
      </c>
      <c r="L11" s="37" t="s">
        <v>25</v>
      </c>
      <c r="M11" s="48" t="s">
        <v>55</v>
      </c>
      <c r="N11" s="37"/>
      <c r="O11" s="39" t="s">
        <v>37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62" customHeight="1" x14ac:dyDescent="0.25">
      <c r="A12" s="36"/>
      <c r="B12" s="37" t="s">
        <v>78</v>
      </c>
      <c r="C12" s="37" t="s">
        <v>79</v>
      </c>
      <c r="D12" s="47" t="s">
        <v>80</v>
      </c>
      <c r="E12" s="47" t="s">
        <v>81</v>
      </c>
      <c r="F12" s="37" t="s">
        <v>36</v>
      </c>
      <c r="G12" s="61" t="s">
        <v>82</v>
      </c>
      <c r="H12" s="37" t="s">
        <v>40</v>
      </c>
      <c r="I12" s="37">
        <v>12</v>
      </c>
      <c r="J12" s="38">
        <v>45992</v>
      </c>
      <c r="K12" s="37" t="s">
        <v>16</v>
      </c>
      <c r="L12" s="37" t="s">
        <v>25</v>
      </c>
      <c r="M12" s="49" t="s">
        <v>83</v>
      </c>
      <c r="N12" s="37"/>
      <c r="O12" s="39" t="s">
        <v>84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62" customHeight="1" x14ac:dyDescent="0.25">
      <c r="A13" s="36"/>
      <c r="B13" s="37" t="s">
        <v>85</v>
      </c>
      <c r="C13" s="37" t="s">
        <v>87</v>
      </c>
      <c r="D13" s="47" t="s">
        <v>88</v>
      </c>
      <c r="E13" s="47" t="s">
        <v>89</v>
      </c>
      <c r="F13" s="51" t="s">
        <v>93</v>
      </c>
      <c r="G13" s="113" t="s">
        <v>90</v>
      </c>
      <c r="H13" s="37" t="s">
        <v>38</v>
      </c>
      <c r="I13" s="37">
        <v>12</v>
      </c>
      <c r="J13" s="38">
        <v>45992</v>
      </c>
      <c r="K13" s="37" t="s">
        <v>16</v>
      </c>
      <c r="L13" s="37" t="s">
        <v>21</v>
      </c>
      <c r="M13" s="49" t="s">
        <v>91</v>
      </c>
      <c r="N13" s="37"/>
      <c r="O13" s="39" t="s">
        <v>92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62" customHeight="1" x14ac:dyDescent="0.25">
      <c r="A14" s="50"/>
      <c r="B14" s="51" t="s">
        <v>86</v>
      </c>
      <c r="C14" s="51" t="s">
        <v>94</v>
      </c>
      <c r="D14" s="47" t="s">
        <v>95</v>
      </c>
      <c r="E14" s="47" t="s">
        <v>96</v>
      </c>
      <c r="F14" s="51" t="s">
        <v>93</v>
      </c>
      <c r="G14" s="113" t="s">
        <v>97</v>
      </c>
      <c r="H14" s="51" t="s">
        <v>38</v>
      </c>
      <c r="I14" s="51">
        <v>12</v>
      </c>
      <c r="J14" s="54">
        <v>45992</v>
      </c>
      <c r="K14" s="51" t="s">
        <v>16</v>
      </c>
      <c r="L14" s="51" t="s">
        <v>21</v>
      </c>
      <c r="M14" s="49" t="s">
        <v>98</v>
      </c>
      <c r="N14" s="51"/>
      <c r="O14" s="51" t="s">
        <v>84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62" customHeight="1" x14ac:dyDescent="0.25">
      <c r="A15" s="36"/>
      <c r="B15" s="51" t="s">
        <v>99</v>
      </c>
      <c r="C15" s="37" t="s">
        <v>103</v>
      </c>
      <c r="D15" s="47" t="s">
        <v>104</v>
      </c>
      <c r="E15" s="47" t="s">
        <v>105</v>
      </c>
      <c r="F15" s="37" t="s">
        <v>36</v>
      </c>
      <c r="G15" s="113" t="s">
        <v>106</v>
      </c>
      <c r="H15" s="51" t="s">
        <v>44</v>
      </c>
      <c r="I15" s="37">
        <v>12</v>
      </c>
      <c r="J15" s="38">
        <v>45992</v>
      </c>
      <c r="K15" s="37" t="s">
        <v>16</v>
      </c>
      <c r="L15" s="37" t="s">
        <v>21</v>
      </c>
      <c r="M15" s="60" t="s">
        <v>107</v>
      </c>
      <c r="N15" s="37"/>
      <c r="O15" s="39" t="s">
        <v>108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62" customHeight="1" x14ac:dyDescent="0.25">
      <c r="A16" s="36"/>
      <c r="B16" s="51" t="s">
        <v>100</v>
      </c>
      <c r="C16" s="37" t="s">
        <v>109</v>
      </c>
      <c r="D16" s="47" t="s">
        <v>110</v>
      </c>
      <c r="E16" s="47" t="s">
        <v>111</v>
      </c>
      <c r="F16" s="37" t="s">
        <v>36</v>
      </c>
      <c r="G16" s="113" t="s">
        <v>112</v>
      </c>
      <c r="H16" s="51" t="s">
        <v>44</v>
      </c>
      <c r="I16" s="37">
        <v>12</v>
      </c>
      <c r="J16" s="38">
        <v>45992</v>
      </c>
      <c r="K16" s="37" t="s">
        <v>16</v>
      </c>
      <c r="L16" s="37" t="s">
        <v>21</v>
      </c>
      <c r="M16" s="60" t="s">
        <v>113</v>
      </c>
      <c r="N16" s="37"/>
      <c r="O16" s="39" t="s">
        <v>114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62" customHeight="1" x14ac:dyDescent="0.25">
      <c r="A17" s="36"/>
      <c r="B17" s="51" t="s">
        <v>101</v>
      </c>
      <c r="C17" s="37" t="s">
        <v>115</v>
      </c>
      <c r="D17" s="47" t="s">
        <v>116</v>
      </c>
      <c r="E17" s="47" t="s">
        <v>117</v>
      </c>
      <c r="F17" s="37" t="s">
        <v>36</v>
      </c>
      <c r="G17" s="113" t="s">
        <v>118</v>
      </c>
      <c r="H17" s="37" t="s">
        <v>39</v>
      </c>
      <c r="I17" s="37">
        <v>12</v>
      </c>
      <c r="J17" s="38">
        <v>45992</v>
      </c>
      <c r="K17" s="37" t="s">
        <v>16</v>
      </c>
      <c r="L17" s="37" t="s">
        <v>21</v>
      </c>
      <c r="M17" s="60" t="s">
        <v>119</v>
      </c>
      <c r="N17" s="37"/>
      <c r="O17" s="39" t="s">
        <v>120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62" customHeight="1" x14ac:dyDescent="0.25">
      <c r="A18" s="36"/>
      <c r="B18" s="51" t="s">
        <v>102</v>
      </c>
      <c r="C18" s="37" t="s">
        <v>126</v>
      </c>
      <c r="D18" s="47" t="s">
        <v>125</v>
      </c>
      <c r="E18" s="47" t="s">
        <v>124</v>
      </c>
      <c r="F18" s="37" t="s">
        <v>36</v>
      </c>
      <c r="G18" s="113" t="s">
        <v>123</v>
      </c>
      <c r="H18" s="37" t="s">
        <v>39</v>
      </c>
      <c r="I18" s="37">
        <v>12</v>
      </c>
      <c r="J18" s="38">
        <v>45992</v>
      </c>
      <c r="K18" s="37" t="s">
        <v>16</v>
      </c>
      <c r="L18" s="37" t="s">
        <v>21</v>
      </c>
      <c r="M18" s="60" t="s">
        <v>122</v>
      </c>
      <c r="N18" s="37"/>
      <c r="O18" s="39" t="s">
        <v>121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34.25" customHeight="1" x14ac:dyDescent="0.25">
      <c r="A19" s="36"/>
      <c r="B19" s="41"/>
      <c r="C19" s="41"/>
      <c r="D19" s="41"/>
      <c r="E19" s="36"/>
      <c r="F19" s="41"/>
      <c r="G19" s="41"/>
      <c r="H19" s="41"/>
      <c r="I19" s="41"/>
      <c r="J19" s="42"/>
      <c r="K19" s="41"/>
      <c r="L19" s="41"/>
      <c r="M19" s="41"/>
      <c r="N19" s="41"/>
      <c r="O19" s="4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5">
      <c r="A20" s="36"/>
      <c r="B20" s="41"/>
      <c r="C20" s="41"/>
      <c r="D20" s="41"/>
      <c r="E20" s="41"/>
      <c r="F20" s="41"/>
      <c r="G20" s="41"/>
      <c r="H20" s="41"/>
      <c r="I20" s="41"/>
      <c r="J20" s="42"/>
      <c r="K20" s="41"/>
      <c r="L20" s="41"/>
      <c r="M20" s="41"/>
      <c r="N20" s="44"/>
      <c r="O20" s="43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5">
      <c r="A21" s="36"/>
      <c r="B21" s="41"/>
      <c r="C21" s="41"/>
      <c r="D21" s="41"/>
      <c r="E21" s="36"/>
      <c r="F21" s="41"/>
      <c r="G21" s="41"/>
      <c r="H21" s="41"/>
      <c r="I21" s="41"/>
      <c r="J21" s="42"/>
      <c r="K21" s="41"/>
      <c r="L21" s="41"/>
      <c r="M21" s="41"/>
      <c r="N21" s="41"/>
      <c r="O21" s="4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5">
      <c r="A22" s="36"/>
      <c r="B22" s="41"/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4"/>
      <c r="N22" s="41"/>
      <c r="O22" s="4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5">
      <c r="A23" s="36"/>
      <c r="B23" s="41"/>
      <c r="C23" s="41"/>
      <c r="D23" s="41"/>
      <c r="E23" s="41"/>
      <c r="F23" s="41"/>
      <c r="G23" s="41"/>
      <c r="H23" s="41"/>
      <c r="I23" s="41"/>
      <c r="J23" s="42"/>
      <c r="K23" s="41"/>
      <c r="L23" s="41"/>
      <c r="M23" s="41" t="s">
        <v>23</v>
      </c>
      <c r="N23" s="41"/>
      <c r="O23" s="45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5">
      <c r="A26" s="36"/>
      <c r="B26" s="36"/>
      <c r="C26" s="36"/>
      <c r="D26" s="36"/>
      <c r="E26" s="36"/>
      <c r="F26" s="36"/>
      <c r="G26" s="36"/>
      <c r="H26" s="44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44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44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 t="s">
        <v>16</v>
      </c>
      <c r="L33" s="36" t="s">
        <v>21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 t="s">
        <v>22</v>
      </c>
      <c r="L34" s="36" t="s">
        <v>17</v>
      </c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 t="s">
        <v>24</v>
      </c>
      <c r="L35" s="36" t="s">
        <v>25</v>
      </c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 t="s">
        <v>26</v>
      </c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34.25" customHeight="1" x14ac:dyDescent="0.25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34.25" customHeight="1" x14ac:dyDescent="0.25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34.25" customHeight="1" x14ac:dyDescent="0.25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</sheetData>
  <mergeCells count="1">
    <mergeCell ref="B3:O3"/>
  </mergeCells>
  <phoneticPr fontId="21" type="noConversion"/>
  <conditionalFormatting sqref="K6:K18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9:L23" xr:uid="{00000000-0002-0000-0000-000003000000}">
      <formula1>#REF!</formula1>
    </dataValidation>
    <dataValidation type="list" allowBlank="1" showErrorMessage="1" sqref="L6:L18" xr:uid="{00000000-0002-0000-0000-000000000000}">
      <formula1>$L$33:$L$36</formula1>
    </dataValidation>
    <dataValidation type="list" allowBlank="1" showErrorMessage="1" sqref="K6:K18" xr:uid="{00000000-0002-0000-0000-000001000000}">
      <formula1>$K$33:$K$35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101" t="s">
        <v>27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99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98" t="s">
        <v>28</v>
      </c>
      <c r="F9" s="99"/>
      <c r="G9" s="12"/>
      <c r="H9" s="98" t="s">
        <v>11</v>
      </c>
      <c r="I9" s="99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72</v>
      </c>
      <c r="D10" s="16"/>
      <c r="E10" s="100" t="str">
        <f>VLOOKUP(C10,'Formato descripción HU'!B6:O23,5,0)</f>
        <v>Administrador</v>
      </c>
      <c r="F10" s="99"/>
      <c r="G10" s="17"/>
      <c r="H10" s="100" t="str">
        <f>VLOOKUP(C10,'Formato descripción HU'!B6:O23,11,0)</f>
        <v>Terminado</v>
      </c>
      <c r="I10" s="99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29</v>
      </c>
      <c r="D12" s="16"/>
      <c r="E12" s="98" t="s">
        <v>10</v>
      </c>
      <c r="F12" s="99"/>
      <c r="G12" s="17"/>
      <c r="H12" s="98" t="s">
        <v>30</v>
      </c>
      <c r="I12" s="99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HU'!B6:O23,8,0)</f>
        <v>12</v>
      </c>
      <c r="D13" s="16"/>
      <c r="E13" s="100" t="str">
        <f>VLOOKUP(C10,'Formato descripción HU'!B6:O23,10,0)</f>
        <v>Alta</v>
      </c>
      <c r="F13" s="99"/>
      <c r="G13" s="17"/>
      <c r="H13" s="100" t="str">
        <f>VLOOKUP(C10,'Formato descripción HU'!B6:O23,7,0)</f>
        <v>Cristhian Marcalla</v>
      </c>
      <c r="I13" s="99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87" t="s">
        <v>31</v>
      </c>
      <c r="D15" s="85" t="str">
        <f>VLOOKUP(C10,'Formato descripción HU'!B6:O23,3,0)</f>
        <v>El sistema deberá permitir generar proformas o reportes de cotización para clientes.</v>
      </c>
      <c r="E15" s="77"/>
      <c r="F15" s="20"/>
      <c r="G15" s="87" t="s">
        <v>32</v>
      </c>
      <c r="H15" s="85" t="str">
        <f>VLOOKUP(C10,'Formato descripción HU'!B6:O23,4,0)</f>
        <v>Para agilizar la atención a los clientes y llevar un registro formal de las cotizaciones.</v>
      </c>
      <c r="I15" s="83"/>
      <c r="J15" s="77"/>
      <c r="K15" s="20"/>
      <c r="L15" s="87" t="s">
        <v>33</v>
      </c>
      <c r="M15" s="90" t="str">
        <f>VLOOKUP(C10,'Formato descripción HU'!B6:O23,6,0)</f>
        <v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v>
      </c>
      <c r="N15" s="83"/>
      <c r="O15" s="77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88"/>
      <c r="D16" s="78"/>
      <c r="E16" s="79"/>
      <c r="F16" s="20"/>
      <c r="G16" s="88"/>
      <c r="H16" s="78"/>
      <c r="I16" s="66"/>
      <c r="J16" s="79"/>
      <c r="K16" s="20"/>
      <c r="L16" s="88"/>
      <c r="M16" s="78"/>
      <c r="N16" s="66"/>
      <c r="O16" s="79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89"/>
      <c r="D17" s="80"/>
      <c r="E17" s="81"/>
      <c r="F17" s="20"/>
      <c r="G17" s="89"/>
      <c r="H17" s="80"/>
      <c r="I17" s="84"/>
      <c r="J17" s="81"/>
      <c r="K17" s="20"/>
      <c r="L17" s="89"/>
      <c r="M17" s="80"/>
      <c r="N17" s="84"/>
      <c r="O17" s="81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97" t="s">
        <v>34</v>
      </c>
      <c r="D19" s="77"/>
      <c r="E19" s="91" t="str">
        <f>VLOOKUP(C10,'Formato descripción HU'!B6:O23,14,0)</f>
        <v>Generación de Proformas</v>
      </c>
      <c r="F19" s="92"/>
      <c r="G19" s="92"/>
      <c r="H19" s="92"/>
      <c r="I19" s="92"/>
      <c r="J19" s="92"/>
      <c r="K19" s="92"/>
      <c r="L19" s="92"/>
      <c r="M19" s="92"/>
      <c r="N19" s="92"/>
      <c r="O19" s="93"/>
      <c r="P19" s="14"/>
      <c r="Q19" s="3"/>
    </row>
    <row r="20" spans="1:26" ht="19.5" customHeight="1" x14ac:dyDescent="0.25">
      <c r="B20" s="10"/>
      <c r="C20" s="80"/>
      <c r="D20" s="81"/>
      <c r="E20" s="94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76" t="s">
        <v>35</v>
      </c>
      <c r="D22" s="77"/>
      <c r="E22" s="82" t="str">
        <f>VLOOKUP(C10,'Formato descripción HU'!B6:O23,12,0)</f>
        <v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v>
      </c>
      <c r="F22" s="83"/>
      <c r="G22" s="83"/>
      <c r="H22" s="77"/>
      <c r="I22" s="13"/>
      <c r="J22" s="76" t="s">
        <v>13</v>
      </c>
      <c r="K22" s="77"/>
      <c r="L22" s="85">
        <f>VLOOKUP(C10,'Formato descripción HU'!B6:O23,13,0)</f>
        <v>0</v>
      </c>
      <c r="M22" s="83"/>
      <c r="N22" s="83"/>
      <c r="O22" s="77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78"/>
      <c r="D23" s="79"/>
      <c r="E23" s="78"/>
      <c r="F23" s="66"/>
      <c r="G23" s="66"/>
      <c r="H23" s="79"/>
      <c r="I23" s="13"/>
      <c r="J23" s="78"/>
      <c r="K23" s="79"/>
      <c r="L23" s="78"/>
      <c r="M23" s="66"/>
      <c r="N23" s="66"/>
      <c r="O23" s="79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80"/>
      <c r="D24" s="81"/>
      <c r="E24" s="80"/>
      <c r="F24" s="84"/>
      <c r="G24" s="84"/>
      <c r="H24" s="81"/>
      <c r="I24" s="13"/>
      <c r="J24" s="80"/>
      <c r="K24" s="81"/>
      <c r="L24" s="80"/>
      <c r="M24" s="84"/>
      <c r="N24" s="84"/>
      <c r="O24" s="81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8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69"/>
      <c r="F30" s="66"/>
      <c r="G30" s="25"/>
      <c r="H30" s="69"/>
      <c r="I30" s="6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69"/>
      <c r="F31" s="66"/>
      <c r="G31" s="27"/>
      <c r="H31" s="69"/>
      <c r="I31" s="66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67"/>
      <c r="F32" s="66"/>
      <c r="G32" s="27"/>
      <c r="H32" s="67"/>
      <c r="I32" s="66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69"/>
      <c r="D34" s="70"/>
      <c r="E34" s="66"/>
      <c r="F34" s="30"/>
      <c r="G34" s="69"/>
      <c r="H34" s="70"/>
      <c r="I34" s="66"/>
      <c r="J34" s="66"/>
      <c r="K34" s="30"/>
      <c r="L34" s="69"/>
      <c r="M34" s="74"/>
      <c r="N34" s="66"/>
      <c r="O34" s="66"/>
      <c r="P34" s="3"/>
    </row>
    <row r="35" spans="1:16" ht="19.5" customHeight="1" x14ac:dyDescent="0.25">
      <c r="A35" s="3"/>
      <c r="B35" s="3"/>
      <c r="C35" s="66"/>
      <c r="D35" s="66"/>
      <c r="E35" s="66"/>
      <c r="F35" s="30"/>
      <c r="G35" s="66"/>
      <c r="H35" s="66"/>
      <c r="I35" s="66"/>
      <c r="J35" s="66"/>
      <c r="K35" s="30"/>
      <c r="L35" s="66"/>
      <c r="M35" s="66"/>
      <c r="N35" s="66"/>
      <c r="O35" s="66"/>
      <c r="P35" s="3"/>
    </row>
    <row r="36" spans="1:16" ht="19.5" customHeight="1" x14ac:dyDescent="0.25">
      <c r="A36" s="3"/>
      <c r="B36" s="3"/>
      <c r="C36" s="66"/>
      <c r="D36" s="66"/>
      <c r="E36" s="66"/>
      <c r="F36" s="30"/>
      <c r="G36" s="66"/>
      <c r="H36" s="66"/>
      <c r="I36" s="66"/>
      <c r="J36" s="66"/>
      <c r="K36" s="30"/>
      <c r="L36" s="66"/>
      <c r="M36" s="66"/>
      <c r="N36" s="66"/>
      <c r="O36" s="66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73"/>
      <c r="D38" s="66"/>
      <c r="E38" s="7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3"/>
    </row>
    <row r="39" spans="1:16" ht="19.5" customHeight="1" x14ac:dyDescent="0.25">
      <c r="B39" s="3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69"/>
      <c r="D41" s="66"/>
      <c r="E41" s="72"/>
      <c r="F41" s="66"/>
      <c r="G41" s="66"/>
      <c r="H41" s="66"/>
      <c r="I41" s="3"/>
      <c r="J41" s="69"/>
      <c r="K41" s="66"/>
      <c r="L41" s="70"/>
      <c r="M41" s="66"/>
      <c r="N41" s="66"/>
      <c r="O41" s="66"/>
      <c r="P41" s="3"/>
    </row>
    <row r="42" spans="1:16" ht="19.5" customHeight="1" x14ac:dyDescent="0.25">
      <c r="A42" s="3"/>
      <c r="B42" s="3"/>
      <c r="C42" s="66"/>
      <c r="D42" s="66"/>
      <c r="E42" s="66"/>
      <c r="F42" s="66"/>
      <c r="G42" s="66"/>
      <c r="H42" s="66"/>
      <c r="I42" s="3"/>
      <c r="J42" s="66"/>
      <c r="K42" s="66"/>
      <c r="L42" s="66"/>
      <c r="M42" s="66"/>
      <c r="N42" s="66"/>
      <c r="O42" s="66"/>
      <c r="P42" s="3"/>
    </row>
    <row r="43" spans="1:16" ht="19.5" customHeight="1" x14ac:dyDescent="0.25">
      <c r="A43" s="3"/>
      <c r="B43" s="3"/>
      <c r="C43" s="66"/>
      <c r="D43" s="66"/>
      <c r="E43" s="66"/>
      <c r="F43" s="66"/>
      <c r="G43" s="66"/>
      <c r="H43" s="66"/>
      <c r="I43" s="3"/>
      <c r="J43" s="66"/>
      <c r="K43" s="66"/>
      <c r="L43" s="66"/>
      <c r="M43" s="66"/>
      <c r="N43" s="66"/>
      <c r="O43" s="66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71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68"/>
      <c r="F49" s="66"/>
      <c r="G49" s="3"/>
      <c r="H49" s="68"/>
      <c r="I49" s="66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65"/>
      <c r="F50" s="66"/>
      <c r="G50" s="3"/>
      <c r="H50" s="67"/>
      <c r="I50" s="66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68"/>
      <c r="F52" s="66"/>
      <c r="G52" s="3"/>
      <c r="H52" s="68"/>
      <c r="I52" s="66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65"/>
      <c r="F53" s="66"/>
      <c r="G53" s="3"/>
      <c r="H53" s="65"/>
      <c r="I53" s="66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68"/>
      <c r="D55" s="70"/>
      <c r="E55" s="66"/>
      <c r="F55" s="3"/>
      <c r="G55" s="68"/>
      <c r="H55" s="108"/>
      <c r="I55" s="66"/>
      <c r="J55" s="66"/>
      <c r="K55" s="3"/>
      <c r="L55" s="68"/>
      <c r="M55" s="109"/>
      <c r="N55" s="66"/>
      <c r="O55" s="66"/>
      <c r="P55" s="3"/>
    </row>
    <row r="56" spans="1:16" ht="15.75" customHeight="1" x14ac:dyDescent="0.25">
      <c r="A56" s="3"/>
      <c r="B56" s="3"/>
      <c r="C56" s="66"/>
      <c r="D56" s="66"/>
      <c r="E56" s="66"/>
      <c r="F56" s="3"/>
      <c r="G56" s="66"/>
      <c r="H56" s="66"/>
      <c r="I56" s="66"/>
      <c r="J56" s="66"/>
      <c r="K56" s="3"/>
      <c r="L56" s="66"/>
      <c r="M56" s="66"/>
      <c r="N56" s="66"/>
      <c r="O56" s="66"/>
      <c r="P56" s="3"/>
    </row>
    <row r="57" spans="1:16" ht="15.75" customHeight="1" x14ac:dyDescent="0.25">
      <c r="A57" s="3"/>
      <c r="B57" s="3"/>
      <c r="C57" s="66"/>
      <c r="D57" s="66"/>
      <c r="E57" s="66"/>
      <c r="F57" s="3"/>
      <c r="G57" s="66"/>
      <c r="H57" s="66"/>
      <c r="I57" s="66"/>
      <c r="J57" s="66"/>
      <c r="K57" s="3"/>
      <c r="L57" s="66"/>
      <c r="M57" s="66"/>
      <c r="N57" s="66"/>
      <c r="O57" s="66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106"/>
      <c r="D59" s="66"/>
      <c r="E59" s="107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3"/>
    </row>
    <row r="60" spans="1:16" ht="15.75" customHeight="1" x14ac:dyDescent="0.25">
      <c r="A60" s="3"/>
      <c r="B60" s="3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68"/>
      <c r="D62" s="66"/>
      <c r="E62" s="110"/>
      <c r="F62" s="66"/>
      <c r="G62" s="66"/>
      <c r="H62" s="66"/>
      <c r="I62" s="3"/>
      <c r="J62" s="68"/>
      <c r="K62" s="66"/>
      <c r="L62" s="112"/>
      <c r="M62" s="66"/>
      <c r="N62" s="66"/>
      <c r="O62" s="66"/>
      <c r="P62" s="3"/>
    </row>
    <row r="63" spans="1:16" ht="15.75" customHeight="1" x14ac:dyDescent="0.25">
      <c r="A63" s="3"/>
      <c r="B63" s="3"/>
      <c r="C63" s="66"/>
      <c r="D63" s="66"/>
      <c r="E63" s="66"/>
      <c r="F63" s="66"/>
      <c r="G63" s="66"/>
      <c r="H63" s="66"/>
      <c r="I63" s="3"/>
      <c r="J63" s="66"/>
      <c r="K63" s="66"/>
      <c r="L63" s="66"/>
      <c r="M63" s="66"/>
      <c r="N63" s="66"/>
      <c r="O63" s="66"/>
      <c r="P63" s="3"/>
    </row>
    <row r="64" spans="1:16" ht="15.75" customHeight="1" x14ac:dyDescent="0.25">
      <c r="A64" s="3"/>
      <c r="B64" s="3"/>
      <c r="C64" s="66"/>
      <c r="D64" s="66"/>
      <c r="E64" s="66"/>
      <c r="F64" s="66"/>
      <c r="G64" s="66"/>
      <c r="H64" s="66"/>
      <c r="I64" s="3"/>
      <c r="J64" s="66"/>
      <c r="K64" s="66"/>
      <c r="L64" s="66"/>
      <c r="M64" s="66"/>
      <c r="N64" s="66"/>
      <c r="O64" s="66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71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</row>
    <row r="68" spans="1:16" ht="27" customHeight="1" x14ac:dyDescent="0.4">
      <c r="A68" s="3"/>
      <c r="B68" s="71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68"/>
      <c r="F71" s="66"/>
      <c r="G71" s="3"/>
      <c r="H71" s="68"/>
      <c r="I71" s="66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68"/>
      <c r="F72" s="66"/>
      <c r="G72" s="3"/>
      <c r="H72" s="68"/>
      <c r="I72" s="66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65"/>
      <c r="F73" s="66"/>
      <c r="G73" s="3"/>
      <c r="H73" s="65"/>
      <c r="I73" s="66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68"/>
      <c r="D75" s="111"/>
      <c r="E75" s="66"/>
      <c r="F75" s="3"/>
      <c r="G75" s="68"/>
      <c r="H75" s="108"/>
      <c r="I75" s="66"/>
      <c r="J75" s="66"/>
      <c r="K75" s="3"/>
      <c r="L75" s="68"/>
      <c r="M75" s="109"/>
      <c r="N75" s="66"/>
      <c r="O75" s="66"/>
      <c r="P75" s="3"/>
    </row>
    <row r="76" spans="1:16" ht="15.75" customHeight="1" x14ac:dyDescent="0.25">
      <c r="A76" s="3"/>
      <c r="B76" s="3"/>
      <c r="C76" s="66"/>
      <c r="D76" s="66"/>
      <c r="E76" s="66"/>
      <c r="F76" s="3"/>
      <c r="G76" s="66"/>
      <c r="H76" s="66"/>
      <c r="I76" s="66"/>
      <c r="J76" s="66"/>
      <c r="K76" s="3"/>
      <c r="L76" s="66"/>
      <c r="M76" s="66"/>
      <c r="N76" s="66"/>
      <c r="O76" s="66"/>
      <c r="P76" s="3"/>
    </row>
    <row r="77" spans="1:16" ht="15.75" customHeight="1" x14ac:dyDescent="0.25">
      <c r="A77" s="3"/>
      <c r="B77" s="3"/>
      <c r="C77" s="66"/>
      <c r="D77" s="66"/>
      <c r="E77" s="66"/>
      <c r="F77" s="3"/>
      <c r="G77" s="66"/>
      <c r="H77" s="66"/>
      <c r="I77" s="66"/>
      <c r="J77" s="66"/>
      <c r="K77" s="3"/>
      <c r="L77" s="66"/>
      <c r="M77" s="66"/>
      <c r="N77" s="66"/>
      <c r="O77" s="66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106"/>
      <c r="D79" s="66"/>
      <c r="E79" s="107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3"/>
    </row>
    <row r="80" spans="1:16" ht="15.75" customHeight="1" x14ac:dyDescent="0.25">
      <c r="A80" s="3"/>
      <c r="B80" s="3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68"/>
      <c r="D82" s="66"/>
      <c r="E82" s="110"/>
      <c r="F82" s="66"/>
      <c r="G82" s="66"/>
      <c r="H82" s="66"/>
      <c r="I82" s="3"/>
      <c r="J82" s="68"/>
      <c r="K82" s="66"/>
      <c r="L82" s="104"/>
      <c r="M82" s="66"/>
      <c r="N82" s="66"/>
      <c r="O82" s="66"/>
      <c r="P82" s="3"/>
    </row>
    <row r="83" spans="1:16" ht="15.75" customHeight="1" x14ac:dyDescent="0.25">
      <c r="A83" s="3"/>
      <c r="B83" s="3"/>
      <c r="C83" s="66"/>
      <c r="D83" s="66"/>
      <c r="E83" s="66"/>
      <c r="F83" s="66"/>
      <c r="G83" s="66"/>
      <c r="H83" s="66"/>
      <c r="I83" s="3"/>
      <c r="J83" s="66"/>
      <c r="K83" s="66"/>
      <c r="L83" s="66"/>
      <c r="M83" s="66"/>
      <c r="N83" s="66"/>
      <c r="O83" s="66"/>
      <c r="P83" s="3"/>
    </row>
    <row r="84" spans="1:16" ht="15.75" customHeight="1" x14ac:dyDescent="0.25">
      <c r="A84" s="3"/>
      <c r="B84" s="3"/>
      <c r="C84" s="66"/>
      <c r="D84" s="66"/>
      <c r="E84" s="66"/>
      <c r="F84" s="66"/>
      <c r="G84" s="66"/>
      <c r="H84" s="66"/>
      <c r="I84" s="3"/>
      <c r="J84" s="66"/>
      <c r="K84" s="66"/>
      <c r="L84" s="66"/>
      <c r="M84" s="66"/>
      <c r="N84" s="66"/>
      <c r="O84" s="66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71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68"/>
      <c r="F90" s="66"/>
      <c r="G90" s="3"/>
      <c r="H90" s="68"/>
      <c r="I90" s="66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65"/>
      <c r="F91" s="66"/>
      <c r="G91" s="3"/>
      <c r="H91" s="65"/>
      <c r="I91" s="66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68"/>
      <c r="D93" s="108"/>
      <c r="E93" s="66"/>
      <c r="F93" s="3"/>
      <c r="G93" s="68"/>
      <c r="H93" s="108"/>
      <c r="I93" s="66"/>
      <c r="J93" s="66"/>
      <c r="K93" s="3"/>
      <c r="L93" s="68"/>
      <c r="M93" s="105"/>
      <c r="N93" s="66"/>
      <c r="O93" s="66"/>
      <c r="P93" s="3"/>
    </row>
    <row r="94" spans="1:16" ht="15.75" customHeight="1" x14ac:dyDescent="0.25">
      <c r="A94" s="3"/>
      <c r="B94" s="3"/>
      <c r="C94" s="66"/>
      <c r="D94" s="66"/>
      <c r="E94" s="66"/>
      <c r="F94" s="3"/>
      <c r="G94" s="66"/>
      <c r="H94" s="66"/>
      <c r="I94" s="66"/>
      <c r="J94" s="66"/>
      <c r="K94" s="3"/>
      <c r="L94" s="66"/>
      <c r="M94" s="66"/>
      <c r="N94" s="66"/>
      <c r="O94" s="66"/>
      <c r="P94" s="3"/>
    </row>
    <row r="95" spans="1:16" ht="15.75" customHeight="1" x14ac:dyDescent="0.25">
      <c r="A95" s="3"/>
      <c r="B95" s="3"/>
      <c r="C95" s="66"/>
      <c r="D95" s="66"/>
      <c r="E95" s="66"/>
      <c r="F95" s="3"/>
      <c r="G95" s="66"/>
      <c r="H95" s="66"/>
      <c r="I95" s="66"/>
      <c r="J95" s="66"/>
      <c r="K95" s="3"/>
      <c r="L95" s="66"/>
      <c r="M95" s="66"/>
      <c r="N95" s="66"/>
      <c r="O95" s="66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106"/>
      <c r="D97" s="66"/>
      <c r="E97" s="107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3"/>
    </row>
    <row r="98" spans="1:16" ht="15.75" customHeight="1" x14ac:dyDescent="0.25">
      <c r="A98" s="3"/>
      <c r="B98" s="3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68"/>
      <c r="D100" s="66"/>
      <c r="E100" s="103"/>
      <c r="F100" s="66"/>
      <c r="G100" s="66"/>
      <c r="H100" s="66"/>
      <c r="I100" s="3"/>
      <c r="J100" s="68"/>
      <c r="K100" s="66"/>
      <c r="L100" s="104"/>
      <c r="M100" s="66"/>
      <c r="N100" s="66"/>
      <c r="O100" s="66"/>
      <c r="P100" s="3"/>
    </row>
    <row r="101" spans="1:16" ht="15.75" customHeight="1" x14ac:dyDescent="0.25">
      <c r="A101" s="3"/>
      <c r="B101" s="3"/>
      <c r="C101" s="66"/>
      <c r="D101" s="66"/>
      <c r="E101" s="66"/>
      <c r="F101" s="66"/>
      <c r="G101" s="66"/>
      <c r="H101" s="66"/>
      <c r="I101" s="3"/>
      <c r="J101" s="66"/>
      <c r="K101" s="66"/>
      <c r="L101" s="66"/>
      <c r="M101" s="66"/>
      <c r="N101" s="66"/>
      <c r="O101" s="66"/>
      <c r="P101" s="3"/>
    </row>
    <row r="102" spans="1:16" ht="15.75" customHeight="1" x14ac:dyDescent="0.25">
      <c r="A102" s="3"/>
      <c r="B102" s="3"/>
      <c r="C102" s="66"/>
      <c r="D102" s="66"/>
      <c r="E102" s="66"/>
      <c r="F102" s="66"/>
      <c r="G102" s="66"/>
      <c r="H102" s="66"/>
      <c r="I102" s="3"/>
      <c r="J102" s="66"/>
      <c r="K102" s="66"/>
      <c r="L102" s="66"/>
      <c r="M102" s="66"/>
      <c r="N102" s="66"/>
      <c r="O102" s="66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71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2026-01-05T02:57:34Z</dcterms:modified>
</cp:coreProperties>
</file>