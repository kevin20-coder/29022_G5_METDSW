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KEVIN/UNIVERSIDAD ESPE/6 SEMESTRE/PROGRAACION/"/>
    </mc:Choice>
  </mc:AlternateContent>
  <xr:revisionPtr revIDLastSave="1" documentId="8_{A5A36AD6-EF9B-42E9-A0DA-BF65764D98F5}" xr6:coauthVersionLast="47" xr6:coauthVersionMax="47" xr10:uidLastSave="{437B14A2-3610-498A-A533-A91051EFDFAB}"/>
  <bookViews>
    <workbookView xWindow="-96" yWindow="0" windowWidth="11712" windowHeight="12336" activeTab="1" xr2:uid="{00000000-000D-0000-FFFF-FFFF00000000}"/>
  </bookViews>
  <sheets>
    <sheet name="Backlog" sheetId="1" r:id="rId1"/>
    <sheet name="sprint0" sheetId="2" r:id="rId2"/>
    <sheet name="sprint1" sheetId="4" r:id="rId3"/>
    <sheet name="sprint2" sheetId="5" r:id="rId4"/>
    <sheet name="sprint3" sheetId="6" r:id="rId5"/>
    <sheet name="burdonchart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umbVZyOcx52yre52oR6StKY4AhwVaEfQZSgxcWGFbfY="/>
    </ext>
  </extLst>
</workbook>
</file>

<file path=xl/calcChain.xml><?xml version="1.0" encoding="utf-8"?>
<calcChain xmlns="http://schemas.openxmlformats.org/spreadsheetml/2006/main">
  <c r="E104" i="3" l="1"/>
  <c r="F104" i="3"/>
  <c r="G104" i="3"/>
  <c r="H104" i="3"/>
  <c r="D104" i="3"/>
  <c r="E103" i="3"/>
  <c r="F103" i="3"/>
  <c r="G103" i="3"/>
  <c r="H103" i="3"/>
  <c r="D103" i="3"/>
  <c r="C104" i="3"/>
  <c r="C103" i="3"/>
  <c r="I99" i="3"/>
  <c r="E72" i="3"/>
  <c r="F72" i="3" s="1"/>
  <c r="G72" i="3" s="1"/>
  <c r="H72" i="3" s="1"/>
  <c r="D72" i="3"/>
  <c r="E71" i="3"/>
  <c r="F71" i="3" s="1"/>
  <c r="G71" i="3" s="1"/>
  <c r="H71" i="3" s="1"/>
  <c r="D71" i="3"/>
  <c r="C72" i="3"/>
  <c r="C71" i="3"/>
  <c r="I67" i="3"/>
  <c r="E40" i="3"/>
  <c r="F40" i="3" s="1"/>
  <c r="G40" i="3" s="1"/>
  <c r="H40" i="3" s="1"/>
  <c r="D40" i="3"/>
  <c r="E41" i="3"/>
  <c r="F41" i="3" s="1"/>
  <c r="G41" i="3" s="1"/>
  <c r="H41" i="3" s="1"/>
  <c r="D41" i="3"/>
  <c r="C41" i="3"/>
  <c r="C40" i="3"/>
  <c r="I36" i="3"/>
  <c r="I35" i="3"/>
  <c r="I34" i="3"/>
  <c r="I33" i="3"/>
  <c r="C12" i="3"/>
  <c r="D12" i="3" s="1"/>
  <c r="E12" i="3" s="1"/>
  <c r="F12" i="3" s="1"/>
  <c r="G12" i="3" s="1"/>
  <c r="H12" i="3" s="1"/>
  <c r="C11" i="3"/>
  <c r="D11" i="3" s="1"/>
  <c r="E11" i="3" s="1"/>
  <c r="F11" i="3" s="1"/>
  <c r="G11" i="3" s="1"/>
  <c r="H11" i="3" s="1"/>
  <c r="I4" i="3"/>
  <c r="I96" i="3"/>
  <c r="I97" i="3"/>
  <c r="I98" i="3"/>
  <c r="I66" i="3"/>
  <c r="I64" i="3"/>
  <c r="I65" i="3"/>
</calcChain>
</file>

<file path=xl/sharedStrings.xml><?xml version="1.0" encoding="utf-8"?>
<sst xmlns="http://schemas.openxmlformats.org/spreadsheetml/2006/main" count="437" uniqueCount="84">
  <si>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</si>
  <si>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</si>
  <si>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</si>
  <si>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</si>
  <si>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</si>
  <si>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</si>
  <si>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</si>
  <si>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</si>
  <si>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</si>
  <si>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</si>
  <si>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</si>
  <si>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</si>
  <si>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</si>
  <si>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</si>
  <si>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</si>
  <si>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</si>
  <si>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</si>
  <si>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</si>
  <si>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</si>
  <si>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</si>
  <si>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</si>
  <si>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</si>
  <si>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</si>
  <si>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</si>
  <si>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</si>
  <si>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</si>
  <si>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</si>
  <si>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</si>
  <si>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</si>
  <si>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</si>
  <si>
    <t>Administrador</t>
  </si>
  <si>
    <t>En Proceso</t>
  </si>
  <si>
    <t>REQ002</t>
  </si>
  <si>
    <t>REQ003</t>
  </si>
  <si>
    <t>REQ004</t>
  </si>
  <si>
    <t>REQ002-1</t>
  </si>
  <si>
    <t>REQ002-2</t>
  </si>
  <si>
    <t>REQ002-3</t>
  </si>
  <si>
    <t>REQ003-1</t>
  </si>
  <si>
    <t>REQ003-2</t>
  </si>
  <si>
    <t>REQ003-3</t>
  </si>
  <si>
    <t>REQ004-1</t>
  </si>
  <si>
    <t>REQ004-2</t>
  </si>
  <si>
    <t>REQ004-3</t>
  </si>
  <si>
    <t>K. Cañola</t>
  </si>
  <si>
    <t>Crear una página donde se puedan gestionar los usuarios registrados.</t>
  </si>
  <si>
    <t>Asegurar que solo las personas autorizadas puedan ingresar usando una contraseña.</t>
  </si>
  <si>
    <t>Establecer diferentes tipos de usuarios, como administradores y clientes.</t>
  </si>
  <si>
    <t>REQ003-4</t>
  </si>
  <si>
    <t>Habilitar la búsqueda rápida de productos mediante su nombre o código.</t>
  </si>
  <si>
    <t>Facilitar la eliminación de productos por nombre o código de identificación.</t>
  </si>
  <si>
    <t>Ofrecer la opción de editar productos utilizando su nombre o código.</t>
  </si>
  <si>
    <t>Incorporar productos nuevos mediante nombre o código de forma eficiente.</t>
  </si>
  <si>
    <t>Ingreso por Credenciales</t>
  </si>
  <si>
    <t>Administrador/Usuario</t>
  </si>
  <si>
    <t>Ingresar al sistema</t>
  </si>
  <si>
    <t xml:space="preserve">Iniciar sesion y distinguir el perfir del usuario </t>
  </si>
  <si>
    <t>No inciado</t>
  </si>
  <si>
    <t>Registro de clientes</t>
  </si>
  <si>
    <t>Registro de nuevos clientes</t>
  </si>
  <si>
    <t>Registrar en la base de datos informacion de nuevos clientes</t>
  </si>
  <si>
    <t>Generacion de proformas</t>
  </si>
  <si>
    <t>Generar pdf con la proforma solicitada</t>
  </si>
  <si>
    <t>Optimizar tiempos de cotizaciones de pedidos</t>
  </si>
  <si>
    <t>Registro de inventario</t>
  </si>
  <si>
    <t>Registro de productos y materia prima de la empresa</t>
  </si>
  <si>
    <t>Controlar de manera efectiva la cantidad de productos y materia prima disponible</t>
  </si>
  <si>
    <t>Registrar productos y materia prima</t>
  </si>
  <si>
    <t xml:space="preserve">En proceso </t>
  </si>
  <si>
    <t xml:space="preserve">Registro de clientes </t>
  </si>
  <si>
    <t>Tener seguridad al ingresar información en el sistema</t>
  </si>
  <si>
    <t>Crear un formulario y buscador de productos (por nombre o código)</t>
  </si>
  <si>
    <t>M. Lugmaña</t>
  </si>
  <si>
    <t>Gestionar la información de productos para la proforma (agregar/eliminar)</t>
  </si>
  <si>
    <t>Generacion de proforma en PDF</t>
  </si>
  <si>
    <t>Guardar la proforma generada en la base de datos</t>
  </si>
  <si>
    <t>E. Tasiguano</t>
  </si>
  <si>
    <t>C, Marcalla</t>
  </si>
  <si>
    <t>Permitir realizar búsquedas rápidas de productos usando su nombre o su código.</t>
  </si>
  <si>
    <t>Simplificar la eliminación de productos a través de su nombre o código identificador.</t>
  </si>
  <si>
    <t>Incluir la posibilidad de modificar productos empleando su nombre o código.</t>
  </si>
  <si>
    <t>Agregar nuevos productos de manera ágil utilizando su nombre o código.</t>
  </si>
  <si>
    <t>REQ002-4</t>
  </si>
  <si>
    <t>REQ004-4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</si>
</sst>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11"/>
      <color theme="1"/>
      <name val="Arial Narrow"/>
      <family val="2"/>
    </font>
    <font>
      <sz val="10"/>
      <color theme="8" tint="-0.499984740745262"/>
      <name val="Arial"/>
      <family val="2"/>
    </font>
    <font>
      <sz val="10"/>
      <color theme="8" tint="-0.499984740745262"/>
      <name val="Roboto"/>
    </font>
    <font>
      <b/>
      <sz val="10"/>
      <color rgb="FF002060"/>
      <name val="Arial"/>
      <family val="2"/>
    </font>
    <font>
      <sz val="10"/>
      <color rgb="FF002060"/>
      <name val="Arial"/>
      <family val="2"/>
      <scheme val="minor"/>
    </font>
    <font>
      <sz val="10"/>
      <color rgb="FF002060"/>
      <name val="Arial"/>
      <family val="2"/>
    </font>
    <font>
      <sz val="8"/>
      <name val="Arial"/>
      <scheme val="minor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 vertical="center" wrapText="1"/>
    </xf>
    <xf numFmtId="0" fontId="7" fillId="5" borderId="0" xfId="0" applyFont="1" applyFill="1"/>
    <xf numFmtId="0" fontId="11" fillId="5" borderId="0" xfId="0" applyFont="1" applyFill="1"/>
    <xf numFmtId="0" fontId="12" fillId="6" borderId="1" xfId="0" applyFont="1" applyFill="1" applyBorder="1"/>
    <xf numFmtId="0" fontId="5" fillId="5" borderId="0" xfId="0" applyFont="1" applyFill="1"/>
    <xf numFmtId="0" fontId="6" fillId="5" borderId="0" xfId="0" applyFont="1" applyFill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1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5" borderId="1" xfId="0" applyFont="1" applyFill="1" applyBorder="1" applyAlignment="1">
      <alignment horizontal="left" vertical="center"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7" fillId="7" borderId="0" xfId="0" applyFont="1" applyFill="1"/>
    <xf numFmtId="0" fontId="18" fillId="7" borderId="0" xfId="0" applyFont="1" applyFill="1"/>
    <xf numFmtId="0" fontId="20" fillId="0" borderId="0" xfId="0" applyFont="1" applyAlignment="1">
      <alignment horizontal="center" vertical="top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burdonchart!$B$40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burdonchart!$C$40:$H$40</c:f>
              <c:numCache>
                <c:formatCode>General</c:formatCode>
                <c:ptCount val="6"/>
                <c:pt idx="0">
                  <c:v>18</c:v>
                </c:pt>
                <c:pt idx="1">
                  <c:v>14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5-4E2E-8A09-71B2DBEE7386}"/>
            </c:ext>
          </c:extLst>
        </c:ser>
        <c:ser>
          <c:idx val="1"/>
          <c:order val="1"/>
          <c:tx>
            <c:strRef>
              <c:f>burdonchart!$B$41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burdonchart!$C$41:$H$41</c:f>
              <c:numCache>
                <c:formatCode>General</c:formatCode>
                <c:ptCount val="6"/>
                <c:pt idx="0">
                  <c:v>18</c:v>
                </c:pt>
                <c:pt idx="1">
                  <c:v>14.4</c:v>
                </c:pt>
                <c:pt idx="2">
                  <c:v>13.6</c:v>
                </c:pt>
                <c:pt idx="3">
                  <c:v>12.4</c:v>
                </c:pt>
                <c:pt idx="4">
                  <c:v>11.4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5-4E2E-8A09-71B2DBEE7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burdonchart!$B$71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burdonchart!$C$71:$H$71</c:f>
              <c:numCache>
                <c:formatCode>General</c:formatCode>
                <c:ptCount val="6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6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3-412A-959C-F17E1F93D1E2}"/>
            </c:ext>
          </c:extLst>
        </c:ser>
        <c:ser>
          <c:idx val="1"/>
          <c:order val="1"/>
          <c:tx>
            <c:strRef>
              <c:f>burdonchart!$B$72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burdonchart!$C$72:$H$72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15</c:v>
                </c:pt>
                <c:pt idx="3">
                  <c:v>14</c:v>
                </c:pt>
                <c:pt idx="4">
                  <c:v>13.2</c:v>
                </c:pt>
                <c:pt idx="5">
                  <c:v>12.6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23-412A-959C-F17E1F93D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382543"/>
        <c:axId val="1565383023"/>
      </c:lineChart>
      <c:catAx>
        <c:axId val="156538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3023"/>
        <c:crosses val="autoZero"/>
        <c:auto val="1"/>
        <c:lblAlgn val="ctr"/>
        <c:lblOffset val="100"/>
        <c:noMultiLvlLbl val="0"/>
      </c:catAx>
      <c:valAx>
        <c:axId val="1565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burdonchart!$B$103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burdonchart!$C$103:$H$103</c:f>
              <c:numCache>
                <c:formatCode>General</c:formatCode>
                <c:ptCount val="6"/>
                <c:pt idx="0">
                  <c:v>21</c:v>
                </c:pt>
                <c:pt idx="1">
                  <c:v>15</c:v>
                </c:pt>
                <c:pt idx="2">
                  <c:v>11</c:v>
                </c:pt>
                <c:pt idx="3">
                  <c:v>7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9-4F2D-9AF4-245A3D722AEB}"/>
            </c:ext>
          </c:extLst>
        </c:ser>
        <c:ser>
          <c:idx val="1"/>
          <c:order val="1"/>
          <c:tx>
            <c:strRef>
              <c:f>burdonchart!$B$104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burdonchart!$C$104:$H$104</c:f>
              <c:numCache>
                <c:formatCode>General</c:formatCode>
                <c:ptCount val="6"/>
                <c:pt idx="0">
                  <c:v>21</c:v>
                </c:pt>
                <c:pt idx="1">
                  <c:v>16.8</c:v>
                </c:pt>
                <c:pt idx="2">
                  <c:v>15.600000000000001</c:v>
                </c:pt>
                <c:pt idx="3">
                  <c:v>14.8</c:v>
                </c:pt>
                <c:pt idx="4">
                  <c:v>14</c:v>
                </c:pt>
                <c:pt idx="5">
                  <c:v>13.2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9-4F2D-9AF4-245A3D722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burdonchart!$B$40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burdonchart!$C$40:$H$40</c:f>
              <c:numCache>
                <c:formatCode>General</c:formatCode>
                <c:ptCount val="6"/>
                <c:pt idx="0">
                  <c:v>18</c:v>
                </c:pt>
                <c:pt idx="1">
                  <c:v>14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C-480A-AC21-748F5FDBB6F7}"/>
            </c:ext>
          </c:extLst>
        </c:ser>
        <c:ser>
          <c:idx val="1"/>
          <c:order val="1"/>
          <c:tx>
            <c:strRef>
              <c:f>burdonchart!$B$41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burdonchart!$C$41:$H$41</c:f>
              <c:numCache>
                <c:formatCode>General</c:formatCode>
                <c:ptCount val="6"/>
                <c:pt idx="0">
                  <c:v>18</c:v>
                </c:pt>
                <c:pt idx="1">
                  <c:v>14.4</c:v>
                </c:pt>
                <c:pt idx="2">
                  <c:v>13.6</c:v>
                </c:pt>
                <c:pt idx="3">
                  <c:v>12.4</c:v>
                </c:pt>
                <c:pt idx="4">
                  <c:v>11.4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C-480A-AC21-748F5FDBB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568779</xdr:colOff>
      <xdr:row>33</xdr:row>
      <xdr:rowOff>189139</xdr:rowOff>
    </xdr:from>
    <xdr:to>
      <xdr:col>15</xdr:col>
      <xdr:colOff>167368</xdr:colOff>
      <xdr:row>47</xdr:row>
      <xdr:rowOff>131989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596537</xdr:colOff>
      <xdr:row>60</xdr:row>
      <xdr:rowOff>40820</xdr:rowOff>
    </xdr:from>
    <xdr:to>
      <xdr:col>15</xdr:col>
      <xdr:colOff>162197</xdr:colOff>
      <xdr:row>73</xdr:row>
      <xdr:rowOff>183968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611233</xdr:colOff>
      <xdr:row>95</xdr:row>
      <xdr:rowOff>136071</xdr:rowOff>
    </xdr:from>
    <xdr:to>
      <xdr:col>15</xdr:col>
      <xdr:colOff>214993</xdr:colOff>
      <xdr:row>109</xdr:row>
      <xdr:rowOff>72934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16</xdr:col>
      <xdr:colOff>428171</xdr:colOff>
      <xdr:row>16</xdr:row>
      <xdr:rowOff>146957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B40221-9F47-4D96-A321-64E15A29D5A5}" name="Table_138" displayName="Table_138" ref="I64:I66" headerRowCount="0" totalsRowShown="0">
  <tableColumns count="1">
    <tableColumn id="1" xr3:uid="{39D12BE6-76AE-45D3-B9AB-374B2C3BB84D}" name="Column1">
      <calculatedColumnFormula>SUM(D64:H64)</calculatedColumnFormula>
    </tableColumn>
  </tableColumns>
  <tableStyleInfo name="burdonchar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FB8253-D5B1-4A11-BD62-1C30036CF747}" name="Table_13811" displayName="Table_13811" ref="I96:I98" headerRowCount="0" totalsRowShown="0">
  <tableColumns count="1">
    <tableColumn id="1" xr3:uid="{F0C3D221-1910-4683-9473-FCE1F64FE72B}" name="Column1">
      <calculatedColumnFormula>SUM(D96:H96)</calculatedColumnFormula>
    </tableColumn>
  </tableColumns>
  <tableStyleInfo name="burdonchar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2F3AEB-3CFB-40D6-B188-6917669DACEC}" name="Table_134" displayName="Table_134" ref="I4:I6" headerRowCount="0" totalsRowShown="0">
  <tableColumns count="1">
    <tableColumn id="1" xr3:uid="{14459500-6CA8-4E74-88BC-49C07CBBAF27}" name="Column1">
      <calculatedColumnFormula>SUM(D4:H4)</calculatedColumnFormula>
    </tableColumn>
  </tableColumns>
  <tableStyleInfo name="burdonchar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A62F31-DD29-4A2C-9055-4E46C152C8D2}" name="Table_1369" displayName="Table_1369" ref="I33:I36" headerRowCount="0" totalsRowShown="0">
  <tableColumns count="1">
    <tableColumn id="1" xr3:uid="{62D5555C-4162-4903-934E-0EAACBA6025E}" name="Column1">
      <calculatedColumnFormula>SUM(D33:H33)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9"/>
  <sheetViews>
    <sheetView workbookViewId="0">
      <selection activeCell="B19" sqref="B19"/>
    </sheetView>
  </sheetViews>
  <sheetFormatPr baseColWidth="10" defaultColWidth="12.5546875" defaultRowHeight="15" customHeight="1" x14ac:dyDescent="0.25"/>
  <cols>
    <col min="1" max="1" width="12.44140625" style="21" customWidth="1"/>
    <col min="2" max="2" width="36.5546875" style="21" customWidth="1"/>
    <col min="3" max="3" width="36" style="21" customWidth="1"/>
    <col min="4" max="4" width="64.44140625" style="21" customWidth="1"/>
    <col min="5" max="5" width="64.6640625" style="21" customWidth="1"/>
    <col min="6" max="26" width="12.44140625" style="21" customWidth="1"/>
    <col min="27" max="16384" width="12.5546875" style="21"/>
  </cols>
  <sheetData>
    <row r="1" spans="1:8" ht="15.75" customHeigh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</row>
    <row r="2" spans="1:8" ht="15.75" customHeight="1" x14ac:dyDescent="0.25">
      <c r="A2" s="22"/>
      <c r="B2" s="22"/>
      <c r="C2" s="22"/>
      <c r="D2" s="19"/>
      <c r="E2" s="19"/>
      <c r="G2" s="22"/>
      <c r="H2" s="22"/>
    </row>
    <row r="3" spans="1:8" customFormat="1" ht="15.75" customHeight="1" x14ac:dyDescent="0.25">
      <c r="A3" s="24" t="s">
        <v>8</v>
      </c>
      <c r="B3" s="24" t="s">
        <v>53</v>
      </c>
      <c r="C3" s="24" t="s">
        <v>54</v>
      </c>
      <c r="D3" s="24" t="s">
        <v>55</v>
      </c>
      <c r="E3" s="24" t="s">
        <v>56</v>
      </c>
      <c r="F3" s="25"/>
      <c r="G3" s="24" t="s">
        <v>9</v>
      </c>
      <c r="H3" s="24" t="s">
        <v>57</v>
      </c>
    </row>
    <row r="4" spans="1:8" customFormat="1" ht="15.75" customHeight="1" x14ac:dyDescent="0.25">
      <c r="A4" s="24" t="s">
        <v>32</v>
      </c>
      <c r="B4" s="24" t="s">
        <v>58</v>
      </c>
      <c r="C4" s="24" t="s">
        <v>30</v>
      </c>
      <c r="D4" s="24" t="s">
        <v>59</v>
      </c>
      <c r="E4" s="24" t="s">
        <v>60</v>
      </c>
      <c r="F4" s="24"/>
      <c r="G4" s="24" t="s">
        <v>9</v>
      </c>
      <c r="H4" s="24" t="s">
        <v>57</v>
      </c>
    </row>
    <row r="5" spans="1:8" customFormat="1" ht="15.75" customHeight="1" x14ac:dyDescent="0.25">
      <c r="A5" s="24" t="s">
        <v>33</v>
      </c>
      <c r="B5" s="24" t="s">
        <v>61</v>
      </c>
      <c r="C5" s="24" t="s">
        <v>54</v>
      </c>
      <c r="D5" s="24" t="s">
        <v>62</v>
      </c>
      <c r="E5" s="24" t="s">
        <v>63</v>
      </c>
      <c r="F5" s="25"/>
      <c r="G5" s="24" t="s">
        <v>9</v>
      </c>
      <c r="H5" s="24" t="s">
        <v>57</v>
      </c>
    </row>
    <row r="6" spans="1:8" customFormat="1" ht="15.75" customHeight="1" x14ac:dyDescent="0.25">
      <c r="A6" s="24" t="s">
        <v>34</v>
      </c>
      <c r="B6" s="24" t="s">
        <v>64</v>
      </c>
      <c r="C6" s="24" t="s">
        <v>54</v>
      </c>
      <c r="D6" s="24" t="s">
        <v>65</v>
      </c>
      <c r="E6" s="24" t="s">
        <v>66</v>
      </c>
      <c r="F6" s="25"/>
      <c r="G6" s="24" t="s">
        <v>9</v>
      </c>
      <c r="H6" s="24" t="s">
        <v>57</v>
      </c>
    </row>
    <row r="7" spans="1:8" s="26" customFormat="1" ht="14.1" customHeight="1" x14ac:dyDescent="0.25">
      <c r="A7" s="24"/>
      <c r="B7" s="24"/>
      <c r="C7" s="24"/>
      <c r="D7" s="24"/>
      <c r="E7" s="24"/>
      <c r="F7" s="25"/>
      <c r="G7" s="24"/>
      <c r="H7" s="24"/>
    </row>
    <row r="8" spans="1:8" ht="15.75" customHeight="1" x14ac:dyDescent="0.25"/>
    <row r="9" spans="1:8" ht="15.75" customHeight="1" x14ac:dyDescent="0.25"/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57"/>
  <sheetViews>
    <sheetView tabSelected="1" zoomScaleNormal="100" workbookViewId="0">
      <selection activeCell="C24" sqref="C24"/>
    </sheetView>
  </sheetViews>
  <sheetFormatPr baseColWidth="10" defaultColWidth="12.5546875" defaultRowHeight="15" customHeight="1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7" t="s">
        <v>8</v>
      </c>
      <c r="C4" s="27" t="s">
        <v>53</v>
      </c>
      <c r="D4" s="27" t="s">
        <v>54</v>
      </c>
      <c r="E4" s="27" t="s">
        <v>55</v>
      </c>
      <c r="F4" s="27" t="s">
        <v>56</v>
      </c>
      <c r="G4" s="28"/>
      <c r="H4" s="27" t="s">
        <v>9</v>
      </c>
      <c r="I4" s="27" t="s">
        <v>68</v>
      </c>
    </row>
    <row r="5" spans="2:9" s="9" customFormat="1" ht="15.75" customHeight="1" x14ac:dyDescent="0.25">
      <c r="B5" s="8"/>
      <c r="C5" s="10" t="s">
        <v>15</v>
      </c>
      <c r="D5" s="8"/>
      <c r="E5" s="8"/>
      <c r="F5" s="8"/>
      <c r="G5" s="10" t="s">
        <v>16</v>
      </c>
      <c r="H5" s="8"/>
      <c r="I5" s="10" t="s">
        <v>17</v>
      </c>
    </row>
    <row r="6" spans="2:9" ht="15.75" customHeight="1" x14ac:dyDescent="0.25">
      <c r="B6" s="8" t="s">
        <v>18</v>
      </c>
      <c r="C6" s="30" t="s">
        <v>47</v>
      </c>
      <c r="D6" s="31"/>
      <c r="E6" s="31"/>
      <c r="F6" s="31"/>
      <c r="G6" s="29" t="s">
        <v>76</v>
      </c>
      <c r="H6" s="8"/>
      <c r="I6" s="18">
        <v>5</v>
      </c>
    </row>
    <row r="7" spans="2:9" ht="15.75" customHeight="1" x14ac:dyDescent="0.25">
      <c r="B7" s="8" t="s">
        <v>19</v>
      </c>
      <c r="C7" s="30" t="s">
        <v>46</v>
      </c>
      <c r="D7" s="31"/>
      <c r="E7" s="31"/>
      <c r="F7" s="31"/>
      <c r="G7" s="29" t="s">
        <v>76</v>
      </c>
      <c r="H7" s="8"/>
      <c r="I7" s="18">
        <v>4</v>
      </c>
    </row>
    <row r="8" spans="2:9" s="9" customFormat="1" ht="15.75" customHeight="1" x14ac:dyDescent="0.25">
      <c r="B8" s="8" t="s">
        <v>20</v>
      </c>
      <c r="C8" s="30" t="s">
        <v>45</v>
      </c>
      <c r="D8" s="31"/>
      <c r="E8" s="31"/>
      <c r="F8" s="31"/>
      <c r="G8" s="29" t="s">
        <v>76</v>
      </c>
      <c r="H8" s="8"/>
      <c r="I8" s="18">
        <v>4</v>
      </c>
    </row>
    <row r="9" spans="2:9" s="9" customFormat="1" ht="15.75" customHeight="1" x14ac:dyDescent="0.25">
      <c r="B9" s="8"/>
      <c r="C9" s="8"/>
      <c r="G9" s="11"/>
      <c r="H9" s="8"/>
      <c r="I9" s="18"/>
    </row>
    <row r="10" spans="2:9" ht="15.75" customHeight="1" x14ac:dyDescent="0.25">
      <c r="B10" s="12" t="s">
        <v>32</v>
      </c>
      <c r="C10" s="13" t="s">
        <v>69</v>
      </c>
      <c r="D10" s="12" t="s">
        <v>30</v>
      </c>
      <c r="E10" s="14" t="s">
        <v>70</v>
      </c>
      <c r="F10" s="13" t="s">
        <v>60</v>
      </c>
      <c r="G10" s="15"/>
      <c r="H10" s="13" t="s">
        <v>9</v>
      </c>
      <c r="I10" s="13" t="s">
        <v>31</v>
      </c>
    </row>
    <row r="11" spans="2:9" ht="15.75" customHeight="1" x14ac:dyDescent="0.25">
      <c r="B11" s="8"/>
      <c r="C11" s="10" t="s">
        <v>15</v>
      </c>
      <c r="D11" s="8"/>
      <c r="E11" s="8"/>
      <c r="F11" s="8"/>
      <c r="G11" s="10" t="s">
        <v>16</v>
      </c>
      <c r="H11" s="8"/>
      <c r="I11" s="10" t="s">
        <v>17</v>
      </c>
    </row>
    <row r="12" spans="2:9" ht="15.75" customHeight="1" x14ac:dyDescent="0.25">
      <c r="B12" s="8" t="s">
        <v>35</v>
      </c>
      <c r="C12" s="30" t="s">
        <v>49</v>
      </c>
      <c r="D12" s="30" t="s">
        <v>49</v>
      </c>
      <c r="E12" s="30" t="s">
        <v>49</v>
      </c>
      <c r="F12" s="30" t="s">
        <v>49</v>
      </c>
      <c r="G12" s="11" t="s">
        <v>44</v>
      </c>
      <c r="H12" s="8"/>
      <c r="I12" s="18">
        <v>6</v>
      </c>
    </row>
    <row r="13" spans="2:9" ht="15.75" customHeight="1" x14ac:dyDescent="0.25">
      <c r="B13" s="8" t="s">
        <v>36</v>
      </c>
      <c r="C13" s="30" t="s">
        <v>50</v>
      </c>
      <c r="D13" s="30" t="s">
        <v>50</v>
      </c>
      <c r="E13" s="30" t="s">
        <v>50</v>
      </c>
      <c r="F13" s="30" t="s">
        <v>50</v>
      </c>
      <c r="G13" s="11" t="s">
        <v>44</v>
      </c>
      <c r="H13" s="8"/>
      <c r="I13" s="18">
        <v>4</v>
      </c>
    </row>
    <row r="14" spans="2:9" ht="15.75" customHeight="1" x14ac:dyDescent="0.25">
      <c r="B14" s="8" t="s">
        <v>37</v>
      </c>
      <c r="C14" s="30" t="s">
        <v>51</v>
      </c>
      <c r="D14" s="30" t="s">
        <v>51</v>
      </c>
      <c r="E14" s="30" t="s">
        <v>51</v>
      </c>
      <c r="F14" s="30" t="s">
        <v>51</v>
      </c>
      <c r="G14" s="11" t="s">
        <v>44</v>
      </c>
      <c r="H14" s="8"/>
      <c r="I14" s="18">
        <v>5</v>
      </c>
    </row>
    <row r="15" spans="2:9" ht="15.75" customHeight="1" x14ac:dyDescent="0.25">
      <c r="B15" s="8" t="s">
        <v>82</v>
      </c>
      <c r="C15" s="30" t="s">
        <v>52</v>
      </c>
      <c r="D15" s="30" t="s">
        <v>52</v>
      </c>
      <c r="E15" s="30" t="s">
        <v>52</v>
      </c>
      <c r="F15" s="30" t="s">
        <v>52</v>
      </c>
      <c r="G15" s="11" t="s">
        <v>44</v>
      </c>
      <c r="I15" s="18">
        <v>5</v>
      </c>
    </row>
    <row r="16" spans="2:9" ht="15.75" customHeight="1" x14ac:dyDescent="0.25">
      <c r="B16" s="8"/>
      <c r="C16" s="8"/>
      <c r="D16" s="8"/>
      <c r="E16" s="8"/>
      <c r="F16" s="8"/>
    </row>
    <row r="17" spans="2:9" ht="15.75" customHeight="1" x14ac:dyDescent="0.25">
      <c r="B17" s="12" t="s">
        <v>33</v>
      </c>
      <c r="C17" s="23" t="s">
        <v>61</v>
      </c>
      <c r="D17" s="12" t="s">
        <v>54</v>
      </c>
      <c r="E17" s="13" t="s">
        <v>62</v>
      </c>
      <c r="F17" s="13" t="s">
        <v>63</v>
      </c>
      <c r="G17" s="16"/>
      <c r="H17" s="13" t="s">
        <v>9</v>
      </c>
      <c r="I17" s="13" t="s">
        <v>31</v>
      </c>
    </row>
    <row r="18" spans="2:9" ht="15.75" customHeight="1" x14ac:dyDescent="0.25">
      <c r="B18" s="8"/>
      <c r="C18" s="10" t="s">
        <v>15</v>
      </c>
      <c r="D18" s="8"/>
      <c r="E18" s="8"/>
      <c r="F18" s="8"/>
      <c r="G18" s="10" t="s">
        <v>16</v>
      </c>
      <c r="H18" s="8"/>
      <c r="I18" s="10" t="s">
        <v>17</v>
      </c>
    </row>
    <row r="19" spans="2:9" ht="15.75" customHeight="1" x14ac:dyDescent="0.25">
      <c r="B19" s="8" t="s">
        <v>38</v>
      </c>
      <c r="C19" s="30" t="s">
        <v>71</v>
      </c>
      <c r="D19" s="30" t="s">
        <v>49</v>
      </c>
      <c r="E19" s="30" t="s">
        <v>49</v>
      </c>
      <c r="F19" s="30" t="s">
        <v>49</v>
      </c>
      <c r="G19" s="11" t="s">
        <v>77</v>
      </c>
      <c r="H19" s="8"/>
      <c r="I19" s="18">
        <v>4</v>
      </c>
    </row>
    <row r="20" spans="2:9" ht="15.75" customHeight="1" x14ac:dyDescent="0.25">
      <c r="B20" s="8" t="s">
        <v>39</v>
      </c>
      <c r="C20" s="30" t="s">
        <v>73</v>
      </c>
      <c r="D20" s="30" t="s">
        <v>50</v>
      </c>
      <c r="E20" s="30" t="s">
        <v>50</v>
      </c>
      <c r="F20" s="30" t="s">
        <v>50</v>
      </c>
      <c r="G20" s="11" t="s">
        <v>77</v>
      </c>
      <c r="H20" s="8"/>
      <c r="I20" s="18">
        <v>4</v>
      </c>
    </row>
    <row r="21" spans="2:9" ht="15.75" customHeight="1" x14ac:dyDescent="0.25">
      <c r="B21" s="8" t="s">
        <v>40</v>
      </c>
      <c r="C21" s="30" t="s">
        <v>74</v>
      </c>
      <c r="D21" s="30" t="s">
        <v>51</v>
      </c>
      <c r="E21" s="30" t="s">
        <v>51</v>
      </c>
      <c r="F21" s="30" t="s">
        <v>51</v>
      </c>
      <c r="G21" s="11" t="s">
        <v>77</v>
      </c>
      <c r="H21" s="8"/>
      <c r="I21" s="18">
        <v>3</v>
      </c>
    </row>
    <row r="22" spans="2:9" ht="15.75" customHeight="1" x14ac:dyDescent="0.25">
      <c r="B22" s="8" t="s">
        <v>48</v>
      </c>
      <c r="C22" s="30" t="s">
        <v>75</v>
      </c>
      <c r="D22" s="30" t="s">
        <v>52</v>
      </c>
      <c r="E22" s="30" t="s">
        <v>52</v>
      </c>
      <c r="F22" s="30" t="s">
        <v>52</v>
      </c>
      <c r="G22" s="11" t="s">
        <v>77</v>
      </c>
      <c r="I22" s="18">
        <v>5</v>
      </c>
    </row>
    <row r="23" spans="2:9" ht="15.75" customHeight="1" x14ac:dyDescent="0.25">
      <c r="B23" s="8"/>
      <c r="C23" s="8"/>
      <c r="D23" s="8"/>
      <c r="E23" s="8"/>
      <c r="F23" s="8"/>
    </row>
    <row r="24" spans="2:9" ht="15.75" customHeight="1" x14ac:dyDescent="0.25">
      <c r="B24" s="12" t="s">
        <v>34</v>
      </c>
      <c r="C24" s="23" t="s">
        <v>64</v>
      </c>
      <c r="D24" s="13" t="s">
        <v>54</v>
      </c>
      <c r="E24" s="14" t="s">
        <v>67</v>
      </c>
      <c r="F24" s="13" t="s">
        <v>66</v>
      </c>
      <c r="G24" s="16"/>
      <c r="H24" s="13" t="s">
        <v>9</v>
      </c>
      <c r="I24" s="13" t="s">
        <v>31</v>
      </c>
    </row>
    <row r="25" spans="2:9" ht="15.75" customHeight="1" x14ac:dyDescent="0.25">
      <c r="B25" s="8"/>
      <c r="C25" s="10" t="s">
        <v>15</v>
      </c>
      <c r="D25" s="8"/>
      <c r="E25" s="8"/>
      <c r="F25" s="8"/>
      <c r="G25" s="10" t="s">
        <v>16</v>
      </c>
      <c r="H25" s="8"/>
      <c r="I25" s="10" t="s">
        <v>17</v>
      </c>
    </row>
    <row r="26" spans="2:9" ht="15.75" customHeight="1" x14ac:dyDescent="0.25">
      <c r="B26" s="8" t="s">
        <v>41</v>
      </c>
      <c r="C26" s="30" t="s">
        <v>78</v>
      </c>
      <c r="D26" s="30" t="s">
        <v>49</v>
      </c>
      <c r="E26" s="30" t="s">
        <v>49</v>
      </c>
      <c r="F26" s="30" t="s">
        <v>49</v>
      </c>
      <c r="G26" s="11" t="s">
        <v>72</v>
      </c>
      <c r="H26" s="8"/>
      <c r="I26" s="18">
        <v>6</v>
      </c>
    </row>
    <row r="27" spans="2:9" ht="15.75" customHeight="1" x14ac:dyDescent="0.25">
      <c r="B27" s="8" t="s">
        <v>42</v>
      </c>
      <c r="C27" s="30" t="s">
        <v>79</v>
      </c>
      <c r="D27" s="30" t="s">
        <v>50</v>
      </c>
      <c r="E27" s="30" t="s">
        <v>50</v>
      </c>
      <c r="F27" s="30" t="s">
        <v>50</v>
      </c>
      <c r="G27" s="11" t="s">
        <v>72</v>
      </c>
      <c r="H27" s="8"/>
      <c r="I27" s="18">
        <v>4</v>
      </c>
    </row>
    <row r="28" spans="2:9" ht="15.75" customHeight="1" x14ac:dyDescent="0.25">
      <c r="B28" s="8" t="s">
        <v>43</v>
      </c>
      <c r="C28" s="30" t="s">
        <v>80</v>
      </c>
      <c r="D28" s="30" t="s">
        <v>51</v>
      </c>
      <c r="E28" s="30" t="s">
        <v>51</v>
      </c>
      <c r="F28" s="30" t="s">
        <v>51</v>
      </c>
      <c r="G28" s="11" t="s">
        <v>72</v>
      </c>
      <c r="H28" s="8"/>
      <c r="I28" s="18">
        <v>5</v>
      </c>
    </row>
    <row r="29" spans="2:9" ht="15.75" customHeight="1" x14ac:dyDescent="0.25">
      <c r="B29" s="8" t="s">
        <v>83</v>
      </c>
      <c r="C29" s="30" t="s">
        <v>81</v>
      </c>
      <c r="D29" s="30" t="s">
        <v>52</v>
      </c>
      <c r="E29" s="30" t="s">
        <v>52</v>
      </c>
      <c r="F29" s="30" t="s">
        <v>52</v>
      </c>
      <c r="G29" s="11" t="s">
        <v>72</v>
      </c>
      <c r="I29" s="18">
        <v>5</v>
      </c>
    </row>
    <row r="30" spans="2:9" ht="15.75" customHeight="1" x14ac:dyDescent="0.25"/>
    <row r="31" spans="2:9" ht="15.75" customHeight="1" x14ac:dyDescent="0.25"/>
    <row r="32" spans="2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</sheetData>
  <mergeCells count="15">
    <mergeCell ref="C29:F29"/>
    <mergeCell ref="C15:F15"/>
    <mergeCell ref="C27:F27"/>
    <mergeCell ref="C28:F28"/>
    <mergeCell ref="C19:F19"/>
    <mergeCell ref="C20:F20"/>
    <mergeCell ref="C21:F21"/>
    <mergeCell ref="C22:F22"/>
    <mergeCell ref="C26:F26"/>
    <mergeCell ref="C14:F14"/>
    <mergeCell ref="C6:F6"/>
    <mergeCell ref="C7:F7"/>
    <mergeCell ref="C8:F8"/>
    <mergeCell ref="C12:F12"/>
    <mergeCell ref="C13:F13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0D6B-2C62-4D7E-A906-B8342F6467B3}">
  <dimension ref="B1:I925"/>
  <sheetViews>
    <sheetView topLeftCell="E1" workbookViewId="0">
      <selection activeCell="G11" sqref="G11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33.55468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7" t="s">
        <v>8</v>
      </c>
      <c r="C4" s="27" t="s">
        <v>53</v>
      </c>
      <c r="D4" s="27" t="s">
        <v>54</v>
      </c>
      <c r="E4" s="27" t="s">
        <v>55</v>
      </c>
      <c r="F4" s="27" t="s">
        <v>56</v>
      </c>
      <c r="G4" s="28"/>
      <c r="H4" s="27" t="s">
        <v>9</v>
      </c>
      <c r="I4" s="27" t="s">
        <v>68</v>
      </c>
    </row>
    <row r="5" spans="2:9" s="9" customFormat="1" ht="15.75" customHeight="1" x14ac:dyDescent="0.25">
      <c r="B5" s="8"/>
      <c r="C5" s="10" t="s">
        <v>15</v>
      </c>
      <c r="D5" s="8"/>
      <c r="E5" s="8"/>
      <c r="F5" s="8"/>
      <c r="G5" s="10" t="s">
        <v>16</v>
      </c>
      <c r="H5" s="8"/>
      <c r="I5" s="10" t="s">
        <v>17</v>
      </c>
    </row>
    <row r="6" spans="2:9" ht="15.75" customHeight="1" x14ac:dyDescent="0.25">
      <c r="B6" s="8" t="s">
        <v>18</v>
      </c>
      <c r="C6" s="30" t="s">
        <v>47</v>
      </c>
      <c r="D6" s="31"/>
      <c r="E6" s="31"/>
      <c r="F6" s="31"/>
      <c r="G6" s="29" t="s">
        <v>76</v>
      </c>
      <c r="H6" s="8"/>
      <c r="I6" s="18">
        <v>5</v>
      </c>
    </row>
    <row r="7" spans="2:9" ht="15.75" customHeight="1" x14ac:dyDescent="0.25">
      <c r="B7" s="8" t="s">
        <v>19</v>
      </c>
      <c r="C7" s="30" t="s">
        <v>46</v>
      </c>
      <c r="D7" s="31"/>
      <c r="E7" s="31"/>
      <c r="F7" s="31"/>
      <c r="G7" s="29" t="s">
        <v>76</v>
      </c>
      <c r="H7" s="8"/>
      <c r="I7" s="18">
        <v>4</v>
      </c>
    </row>
    <row r="8" spans="2:9" s="9" customFormat="1" ht="15.75" customHeight="1" x14ac:dyDescent="0.25">
      <c r="B8" s="8" t="s">
        <v>20</v>
      </c>
      <c r="C8" s="30" t="s">
        <v>45</v>
      </c>
      <c r="D8" s="31"/>
      <c r="E8" s="31"/>
      <c r="F8" s="31"/>
      <c r="G8" s="29" t="s">
        <v>76</v>
      </c>
      <c r="H8" s="8"/>
      <c r="I8" s="18">
        <v>4</v>
      </c>
    </row>
    <row r="9" spans="2:9" s="9" customFormat="1" ht="15.75" customHeight="1" x14ac:dyDescent="0.25">
      <c r="B9" s="8"/>
      <c r="C9" s="8"/>
      <c r="G9" s="11"/>
      <c r="H9" s="8"/>
      <c r="I9" s="18"/>
    </row>
    <row r="10" spans="2:9" ht="15.75" customHeight="1" x14ac:dyDescent="0.25"/>
    <row r="11" spans="2:9" ht="15.75" customHeight="1" x14ac:dyDescent="0.25"/>
    <row r="12" spans="2:9" ht="15.75" customHeight="1" x14ac:dyDescent="0.25"/>
    <row r="13" spans="2:9" ht="15.75" customHeight="1" x14ac:dyDescent="0.25"/>
    <row r="14" spans="2:9" ht="15.75" customHeight="1" x14ac:dyDescent="0.25"/>
    <row r="15" spans="2:9" ht="15.75" customHeight="1" x14ac:dyDescent="0.25"/>
    <row r="16" spans="2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</sheetData>
  <mergeCells count="3">
    <mergeCell ref="C6:F6"/>
    <mergeCell ref="C7:F7"/>
    <mergeCell ref="C8:F8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434A-B456-4E13-B879-0186A37C8BE5}">
  <dimension ref="B1:I942"/>
  <sheetViews>
    <sheetView workbookViewId="0">
      <selection activeCell="I16" sqref="I16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33.55468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7" t="s">
        <v>8</v>
      </c>
      <c r="C4" s="27" t="s">
        <v>53</v>
      </c>
      <c r="D4" s="27" t="s">
        <v>54</v>
      </c>
      <c r="E4" s="27" t="s">
        <v>55</v>
      </c>
      <c r="F4" s="27" t="s">
        <v>56</v>
      </c>
      <c r="G4" s="28"/>
      <c r="H4" s="27" t="s">
        <v>9</v>
      </c>
      <c r="I4" s="27" t="s">
        <v>68</v>
      </c>
    </row>
    <row r="5" spans="2:9" s="9" customFormat="1" ht="15.75" customHeight="1" x14ac:dyDescent="0.25">
      <c r="B5" s="8"/>
      <c r="C5" s="10" t="s">
        <v>15</v>
      </c>
      <c r="D5" s="8"/>
      <c r="E5" s="8"/>
      <c r="F5" s="8"/>
      <c r="G5" s="10" t="s">
        <v>16</v>
      </c>
      <c r="H5" s="8"/>
      <c r="I5" s="10" t="s">
        <v>17</v>
      </c>
    </row>
    <row r="6" spans="2:9" ht="15.75" customHeight="1" x14ac:dyDescent="0.25">
      <c r="B6" s="8" t="s">
        <v>18</v>
      </c>
      <c r="C6" s="30" t="s">
        <v>47</v>
      </c>
      <c r="D6" s="31"/>
      <c r="E6" s="31"/>
      <c r="F6" s="31"/>
      <c r="G6" s="29" t="s">
        <v>76</v>
      </c>
      <c r="H6" s="8"/>
      <c r="I6" s="18">
        <v>5</v>
      </c>
    </row>
    <row r="7" spans="2:9" ht="15.75" customHeight="1" x14ac:dyDescent="0.25">
      <c r="B7" s="8" t="s">
        <v>19</v>
      </c>
      <c r="C7" s="30" t="s">
        <v>46</v>
      </c>
      <c r="D7" s="31"/>
      <c r="E7" s="31"/>
      <c r="F7" s="31"/>
      <c r="G7" s="29" t="s">
        <v>76</v>
      </c>
      <c r="H7" s="8"/>
      <c r="I7" s="18">
        <v>4</v>
      </c>
    </row>
    <row r="8" spans="2:9" s="9" customFormat="1" ht="15.75" customHeight="1" x14ac:dyDescent="0.25">
      <c r="B8" s="8" t="s">
        <v>20</v>
      </c>
      <c r="C8" s="30" t="s">
        <v>45</v>
      </c>
      <c r="D8" s="31"/>
      <c r="E8" s="31"/>
      <c r="F8" s="31"/>
      <c r="G8" s="29" t="s">
        <v>76</v>
      </c>
      <c r="H8" s="8"/>
      <c r="I8" s="18">
        <v>4</v>
      </c>
    </row>
    <row r="9" spans="2:9" s="9" customFormat="1" ht="15.75" customHeight="1" x14ac:dyDescent="0.25">
      <c r="B9" s="8"/>
      <c r="C9" s="8"/>
      <c r="G9" s="11"/>
      <c r="H9" s="8"/>
      <c r="I9" s="18"/>
    </row>
    <row r="10" spans="2:9" ht="15.75" customHeight="1" x14ac:dyDescent="0.25">
      <c r="B10" s="12" t="s">
        <v>32</v>
      </c>
      <c r="C10" s="13" t="s">
        <v>69</v>
      </c>
      <c r="D10" s="12" t="s">
        <v>30</v>
      </c>
      <c r="E10" s="14" t="s">
        <v>70</v>
      </c>
      <c r="F10" s="13" t="s">
        <v>60</v>
      </c>
      <c r="G10" s="15"/>
      <c r="H10" s="13" t="s">
        <v>9</v>
      </c>
      <c r="I10" s="13" t="s">
        <v>31</v>
      </c>
    </row>
    <row r="11" spans="2:9" ht="15.75" customHeight="1" x14ac:dyDescent="0.25">
      <c r="B11" s="8"/>
      <c r="C11" s="10" t="s">
        <v>15</v>
      </c>
      <c r="D11" s="8"/>
      <c r="E11" s="8"/>
      <c r="F11" s="8"/>
      <c r="G11" s="10" t="s">
        <v>16</v>
      </c>
      <c r="H11" s="8"/>
      <c r="I11" s="10" t="s">
        <v>17</v>
      </c>
    </row>
    <row r="12" spans="2:9" ht="15.75" customHeight="1" x14ac:dyDescent="0.25">
      <c r="B12" s="8" t="s">
        <v>35</v>
      </c>
      <c r="C12" s="30" t="s">
        <v>49</v>
      </c>
      <c r="D12" s="30" t="s">
        <v>49</v>
      </c>
      <c r="E12" s="30" t="s">
        <v>49</v>
      </c>
      <c r="F12" s="30" t="s">
        <v>49</v>
      </c>
      <c r="G12" s="11" t="s">
        <v>44</v>
      </c>
      <c r="H12" s="8"/>
      <c r="I12" s="18">
        <v>6</v>
      </c>
    </row>
    <row r="13" spans="2:9" ht="15.75" customHeight="1" x14ac:dyDescent="0.25">
      <c r="B13" s="8" t="s">
        <v>36</v>
      </c>
      <c r="C13" s="30" t="s">
        <v>50</v>
      </c>
      <c r="D13" s="30" t="s">
        <v>50</v>
      </c>
      <c r="E13" s="30" t="s">
        <v>50</v>
      </c>
      <c r="F13" s="30" t="s">
        <v>50</v>
      </c>
      <c r="G13" s="11" t="s">
        <v>44</v>
      </c>
      <c r="H13" s="8"/>
      <c r="I13" s="18">
        <v>4</v>
      </c>
    </row>
    <row r="14" spans="2:9" ht="15.75" customHeight="1" x14ac:dyDescent="0.25">
      <c r="B14" s="8" t="s">
        <v>37</v>
      </c>
      <c r="C14" s="30" t="s">
        <v>51</v>
      </c>
      <c r="D14" s="30" t="s">
        <v>51</v>
      </c>
      <c r="E14" s="30" t="s">
        <v>51</v>
      </c>
      <c r="F14" s="30" t="s">
        <v>51</v>
      </c>
      <c r="G14" s="11" t="s">
        <v>44</v>
      </c>
      <c r="H14" s="8"/>
      <c r="I14" s="18">
        <v>5</v>
      </c>
    </row>
    <row r="15" spans="2:9" ht="15.75" customHeight="1" x14ac:dyDescent="0.25">
      <c r="B15" s="8" t="s">
        <v>82</v>
      </c>
      <c r="C15" s="30" t="s">
        <v>52</v>
      </c>
      <c r="D15" s="30" t="s">
        <v>52</v>
      </c>
      <c r="E15" s="30" t="s">
        <v>52</v>
      </c>
      <c r="F15" s="30" t="s">
        <v>52</v>
      </c>
      <c r="G15" s="11" t="s">
        <v>44</v>
      </c>
      <c r="I15" s="18">
        <v>5</v>
      </c>
    </row>
    <row r="16" spans="2:9" ht="15.75" customHeight="1" x14ac:dyDescent="0.25">
      <c r="B16" s="8"/>
      <c r="C16" s="8"/>
      <c r="D16" s="8"/>
      <c r="E16" s="8"/>
      <c r="F16" s="8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</sheetData>
  <mergeCells count="7">
    <mergeCell ref="C12:F12"/>
    <mergeCell ref="C13:F13"/>
    <mergeCell ref="C14:F14"/>
    <mergeCell ref="C15:F15"/>
    <mergeCell ref="C6:F6"/>
    <mergeCell ref="C7:F7"/>
    <mergeCell ref="C8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ABAC-B8D2-43CE-8740-4F44B207D4C4}">
  <dimension ref="B1:I948"/>
  <sheetViews>
    <sheetView topLeftCell="A11" workbookViewId="0">
      <selection activeCell="I30" sqref="I30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7" t="s">
        <v>8</v>
      </c>
      <c r="C4" s="27" t="s">
        <v>53</v>
      </c>
      <c r="D4" s="27" t="s">
        <v>54</v>
      </c>
      <c r="E4" s="27" t="s">
        <v>55</v>
      </c>
      <c r="F4" s="27" t="s">
        <v>56</v>
      </c>
      <c r="G4" s="28"/>
      <c r="H4" s="27" t="s">
        <v>9</v>
      </c>
      <c r="I4" s="27" t="s">
        <v>68</v>
      </c>
    </row>
    <row r="5" spans="2:9" s="9" customFormat="1" ht="15.75" customHeight="1" x14ac:dyDescent="0.25">
      <c r="B5" s="8"/>
      <c r="C5" s="10" t="s">
        <v>15</v>
      </c>
      <c r="D5" s="8"/>
      <c r="E5" s="8"/>
      <c r="F5" s="8"/>
      <c r="G5" s="10" t="s">
        <v>16</v>
      </c>
      <c r="H5" s="8"/>
      <c r="I5" s="10" t="s">
        <v>17</v>
      </c>
    </row>
    <row r="6" spans="2:9" ht="15.75" customHeight="1" x14ac:dyDescent="0.25">
      <c r="B6" s="8" t="s">
        <v>18</v>
      </c>
      <c r="C6" s="30" t="s">
        <v>47</v>
      </c>
      <c r="D6" s="31"/>
      <c r="E6" s="31"/>
      <c r="F6" s="31"/>
      <c r="G6" s="29" t="s">
        <v>76</v>
      </c>
      <c r="H6" s="8"/>
      <c r="I6" s="18">
        <v>5</v>
      </c>
    </row>
    <row r="7" spans="2:9" ht="15.75" customHeight="1" x14ac:dyDescent="0.25">
      <c r="B7" s="8" t="s">
        <v>19</v>
      </c>
      <c r="C7" s="30" t="s">
        <v>46</v>
      </c>
      <c r="D7" s="31"/>
      <c r="E7" s="31"/>
      <c r="F7" s="31"/>
      <c r="G7" s="29" t="s">
        <v>76</v>
      </c>
      <c r="H7" s="8"/>
      <c r="I7" s="18">
        <v>4</v>
      </c>
    </row>
    <row r="8" spans="2:9" s="9" customFormat="1" ht="15.75" customHeight="1" x14ac:dyDescent="0.25">
      <c r="B8" s="8" t="s">
        <v>20</v>
      </c>
      <c r="C8" s="30" t="s">
        <v>45</v>
      </c>
      <c r="D8" s="31"/>
      <c r="E8" s="31"/>
      <c r="F8" s="31"/>
      <c r="G8" s="29" t="s">
        <v>76</v>
      </c>
      <c r="H8" s="8"/>
      <c r="I8" s="18">
        <v>4</v>
      </c>
    </row>
    <row r="9" spans="2:9" s="9" customFormat="1" ht="15.75" customHeight="1" x14ac:dyDescent="0.25">
      <c r="B9" s="8"/>
      <c r="C9" s="8"/>
      <c r="G9" s="11"/>
      <c r="H9" s="8"/>
      <c r="I9" s="18"/>
    </row>
    <row r="10" spans="2:9" ht="15.75" customHeight="1" x14ac:dyDescent="0.25">
      <c r="B10" s="12" t="s">
        <v>32</v>
      </c>
      <c r="C10" s="13" t="s">
        <v>69</v>
      </c>
      <c r="D10" s="12" t="s">
        <v>30</v>
      </c>
      <c r="E10" s="14" t="s">
        <v>70</v>
      </c>
      <c r="F10" s="13" t="s">
        <v>60</v>
      </c>
      <c r="G10" s="15"/>
      <c r="H10" s="13" t="s">
        <v>9</v>
      </c>
      <c r="I10" s="13" t="s">
        <v>31</v>
      </c>
    </row>
    <row r="11" spans="2:9" ht="15.75" customHeight="1" x14ac:dyDescent="0.25">
      <c r="B11" s="8"/>
      <c r="C11" s="10" t="s">
        <v>15</v>
      </c>
      <c r="D11" s="8"/>
      <c r="E11" s="8"/>
      <c r="F11" s="8"/>
      <c r="G11" s="10" t="s">
        <v>16</v>
      </c>
      <c r="H11" s="8"/>
      <c r="I11" s="10" t="s">
        <v>17</v>
      </c>
    </row>
    <row r="12" spans="2:9" ht="15.75" customHeight="1" x14ac:dyDescent="0.25">
      <c r="B12" s="8" t="s">
        <v>35</v>
      </c>
      <c r="C12" s="30" t="s">
        <v>49</v>
      </c>
      <c r="D12" s="30" t="s">
        <v>49</v>
      </c>
      <c r="E12" s="30" t="s">
        <v>49</v>
      </c>
      <c r="F12" s="30" t="s">
        <v>49</v>
      </c>
      <c r="G12" s="11" t="s">
        <v>44</v>
      </c>
      <c r="H12" s="8"/>
      <c r="I12" s="18">
        <v>6</v>
      </c>
    </row>
    <row r="13" spans="2:9" ht="15.75" customHeight="1" x14ac:dyDescent="0.25">
      <c r="B13" s="8" t="s">
        <v>36</v>
      </c>
      <c r="C13" s="30" t="s">
        <v>50</v>
      </c>
      <c r="D13" s="30" t="s">
        <v>50</v>
      </c>
      <c r="E13" s="30" t="s">
        <v>50</v>
      </c>
      <c r="F13" s="30" t="s">
        <v>50</v>
      </c>
      <c r="G13" s="11" t="s">
        <v>44</v>
      </c>
      <c r="H13" s="8"/>
      <c r="I13" s="18">
        <v>4</v>
      </c>
    </row>
    <row r="14" spans="2:9" ht="15.75" customHeight="1" x14ac:dyDescent="0.25">
      <c r="B14" s="8" t="s">
        <v>37</v>
      </c>
      <c r="C14" s="30" t="s">
        <v>51</v>
      </c>
      <c r="D14" s="30" t="s">
        <v>51</v>
      </c>
      <c r="E14" s="30" t="s">
        <v>51</v>
      </c>
      <c r="F14" s="30" t="s">
        <v>51</v>
      </c>
      <c r="G14" s="11" t="s">
        <v>44</v>
      </c>
      <c r="H14" s="8"/>
      <c r="I14" s="18">
        <v>5</v>
      </c>
    </row>
    <row r="15" spans="2:9" ht="15.75" customHeight="1" x14ac:dyDescent="0.25">
      <c r="B15" s="8" t="s">
        <v>82</v>
      </c>
      <c r="C15" s="30" t="s">
        <v>52</v>
      </c>
      <c r="D15" s="30" t="s">
        <v>52</v>
      </c>
      <c r="E15" s="30" t="s">
        <v>52</v>
      </c>
      <c r="F15" s="30" t="s">
        <v>52</v>
      </c>
      <c r="G15" s="11" t="s">
        <v>44</v>
      </c>
      <c r="I15" s="18">
        <v>5</v>
      </c>
    </row>
    <row r="16" spans="2:9" ht="15.75" customHeight="1" x14ac:dyDescent="0.25">
      <c r="B16" s="8"/>
      <c r="C16" s="8"/>
      <c r="D16" s="8"/>
      <c r="E16" s="8"/>
      <c r="F16" s="8"/>
    </row>
    <row r="17" spans="2:9" ht="15.75" customHeight="1" x14ac:dyDescent="0.25">
      <c r="B17" s="12" t="s">
        <v>33</v>
      </c>
      <c r="C17" s="23" t="s">
        <v>61</v>
      </c>
      <c r="D17" s="12" t="s">
        <v>54</v>
      </c>
      <c r="E17" s="13" t="s">
        <v>62</v>
      </c>
      <c r="F17" s="13" t="s">
        <v>63</v>
      </c>
      <c r="G17" s="16"/>
      <c r="H17" s="13" t="s">
        <v>9</v>
      </c>
      <c r="I17" s="13" t="s">
        <v>31</v>
      </c>
    </row>
    <row r="18" spans="2:9" ht="15.75" customHeight="1" x14ac:dyDescent="0.25">
      <c r="B18" s="8"/>
      <c r="C18" s="10" t="s">
        <v>15</v>
      </c>
      <c r="D18" s="8"/>
      <c r="E18" s="8"/>
      <c r="F18" s="8"/>
      <c r="G18" s="10" t="s">
        <v>16</v>
      </c>
      <c r="H18" s="8"/>
      <c r="I18" s="10" t="s">
        <v>17</v>
      </c>
    </row>
    <row r="19" spans="2:9" ht="15.75" customHeight="1" x14ac:dyDescent="0.25">
      <c r="B19" s="8" t="s">
        <v>38</v>
      </c>
      <c r="C19" s="30" t="s">
        <v>71</v>
      </c>
      <c r="D19" s="30" t="s">
        <v>49</v>
      </c>
      <c r="E19" s="30" t="s">
        <v>49</v>
      </c>
      <c r="F19" s="30" t="s">
        <v>49</v>
      </c>
      <c r="G19" s="11" t="s">
        <v>77</v>
      </c>
      <c r="H19" s="8"/>
      <c r="I19" s="18">
        <v>4</v>
      </c>
    </row>
    <row r="20" spans="2:9" ht="15.75" customHeight="1" x14ac:dyDescent="0.25">
      <c r="B20" s="8" t="s">
        <v>39</v>
      </c>
      <c r="C20" s="30" t="s">
        <v>73</v>
      </c>
      <c r="D20" s="30" t="s">
        <v>50</v>
      </c>
      <c r="E20" s="30" t="s">
        <v>50</v>
      </c>
      <c r="F20" s="30" t="s">
        <v>50</v>
      </c>
      <c r="G20" s="11" t="s">
        <v>77</v>
      </c>
      <c r="H20" s="8"/>
      <c r="I20" s="18">
        <v>4</v>
      </c>
    </row>
    <row r="21" spans="2:9" ht="15.75" customHeight="1" x14ac:dyDescent="0.25">
      <c r="B21" s="8" t="s">
        <v>40</v>
      </c>
      <c r="C21" s="30" t="s">
        <v>74</v>
      </c>
      <c r="D21" s="30" t="s">
        <v>51</v>
      </c>
      <c r="E21" s="30" t="s">
        <v>51</v>
      </c>
      <c r="F21" s="30" t="s">
        <v>51</v>
      </c>
      <c r="G21" s="11" t="s">
        <v>77</v>
      </c>
      <c r="H21" s="8"/>
      <c r="I21" s="18">
        <v>3</v>
      </c>
    </row>
    <row r="22" spans="2:9" ht="15.75" customHeight="1" x14ac:dyDescent="0.25">
      <c r="B22" s="8" t="s">
        <v>48</v>
      </c>
      <c r="C22" s="30" t="s">
        <v>75</v>
      </c>
      <c r="D22" s="30" t="s">
        <v>52</v>
      </c>
      <c r="E22" s="30" t="s">
        <v>52</v>
      </c>
      <c r="F22" s="30" t="s">
        <v>52</v>
      </c>
      <c r="G22" s="11" t="s">
        <v>77</v>
      </c>
      <c r="I22" s="18">
        <v>5</v>
      </c>
    </row>
    <row r="23" spans="2:9" ht="15.75" customHeight="1" x14ac:dyDescent="0.25">
      <c r="B23" s="8"/>
      <c r="C23" s="8"/>
      <c r="D23" s="8"/>
      <c r="E23" s="8"/>
      <c r="F23" s="8"/>
    </row>
    <row r="24" spans="2:9" ht="15.75" customHeight="1" x14ac:dyDescent="0.25">
      <c r="B24" s="12" t="s">
        <v>34</v>
      </c>
      <c r="C24" s="23" t="s">
        <v>64</v>
      </c>
      <c r="D24" s="13" t="s">
        <v>54</v>
      </c>
      <c r="E24" s="14" t="s">
        <v>67</v>
      </c>
      <c r="F24" s="13" t="s">
        <v>66</v>
      </c>
      <c r="G24" s="16"/>
      <c r="H24" s="13" t="s">
        <v>9</v>
      </c>
      <c r="I24" s="13" t="s">
        <v>31</v>
      </c>
    </row>
    <row r="25" spans="2:9" ht="15.75" customHeight="1" x14ac:dyDescent="0.25">
      <c r="B25" s="8"/>
      <c r="C25" s="10" t="s">
        <v>15</v>
      </c>
      <c r="D25" s="8"/>
      <c r="E25" s="8"/>
      <c r="F25" s="8"/>
      <c r="G25" s="10" t="s">
        <v>16</v>
      </c>
      <c r="H25" s="8"/>
      <c r="I25" s="10" t="s">
        <v>17</v>
      </c>
    </row>
    <row r="26" spans="2:9" ht="15.75" customHeight="1" x14ac:dyDescent="0.25">
      <c r="B26" s="8" t="s">
        <v>41</v>
      </c>
      <c r="C26" s="30" t="s">
        <v>78</v>
      </c>
      <c r="D26" s="30" t="s">
        <v>49</v>
      </c>
      <c r="E26" s="30" t="s">
        <v>49</v>
      </c>
      <c r="F26" s="30" t="s">
        <v>49</v>
      </c>
      <c r="G26" s="11" t="s">
        <v>72</v>
      </c>
      <c r="H26" s="8"/>
      <c r="I26" s="18">
        <v>6</v>
      </c>
    </row>
    <row r="27" spans="2:9" ht="15.75" customHeight="1" x14ac:dyDescent="0.25">
      <c r="B27" s="8" t="s">
        <v>42</v>
      </c>
      <c r="C27" s="30" t="s">
        <v>79</v>
      </c>
      <c r="D27" s="30" t="s">
        <v>50</v>
      </c>
      <c r="E27" s="30" t="s">
        <v>50</v>
      </c>
      <c r="F27" s="30" t="s">
        <v>50</v>
      </c>
      <c r="G27" s="11" t="s">
        <v>72</v>
      </c>
      <c r="H27" s="8"/>
      <c r="I27" s="18">
        <v>4</v>
      </c>
    </row>
    <row r="28" spans="2:9" ht="15.75" customHeight="1" x14ac:dyDescent="0.25">
      <c r="B28" s="8" t="s">
        <v>43</v>
      </c>
      <c r="C28" s="30" t="s">
        <v>80</v>
      </c>
      <c r="D28" s="30" t="s">
        <v>51</v>
      </c>
      <c r="E28" s="30" t="s">
        <v>51</v>
      </c>
      <c r="F28" s="30" t="s">
        <v>51</v>
      </c>
      <c r="G28" s="11" t="s">
        <v>72</v>
      </c>
      <c r="H28" s="8"/>
      <c r="I28" s="18">
        <v>5</v>
      </c>
    </row>
    <row r="29" spans="2:9" ht="15.75" customHeight="1" x14ac:dyDescent="0.25">
      <c r="B29" s="8" t="s">
        <v>83</v>
      </c>
      <c r="C29" s="30" t="s">
        <v>81</v>
      </c>
      <c r="D29" s="30" t="s">
        <v>52</v>
      </c>
      <c r="E29" s="30" t="s">
        <v>52</v>
      </c>
      <c r="F29" s="30" t="s">
        <v>52</v>
      </c>
      <c r="G29" s="11" t="s">
        <v>72</v>
      </c>
      <c r="I29" s="18">
        <v>5</v>
      </c>
    </row>
    <row r="30" spans="2:9" ht="15.75" customHeight="1" x14ac:dyDescent="0.25"/>
    <row r="31" spans="2:9" ht="15.75" customHeight="1" x14ac:dyDescent="0.25"/>
    <row r="32" spans="2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</sheetData>
  <mergeCells count="15">
    <mergeCell ref="C27:F27"/>
    <mergeCell ref="C28:F28"/>
    <mergeCell ref="C29:F29"/>
    <mergeCell ref="C14:F14"/>
    <mergeCell ref="C15:F15"/>
    <mergeCell ref="C20:F20"/>
    <mergeCell ref="C21:F21"/>
    <mergeCell ref="C26:F26"/>
    <mergeCell ref="C19:F19"/>
    <mergeCell ref="C22:F22"/>
    <mergeCell ref="C13:F13"/>
    <mergeCell ref="C6:F6"/>
    <mergeCell ref="C7:F7"/>
    <mergeCell ref="C8:F8"/>
    <mergeCell ref="C12:F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86"/>
  <sheetViews>
    <sheetView topLeftCell="A85" zoomScale="70" zoomScaleNormal="70" workbookViewId="0">
      <selection activeCell="D104" sqref="D104:H104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1:9" ht="15.75" customHeight="1" x14ac:dyDescent="0.25"/>
    <row r="2" spans="1:9" ht="15.75" customHeight="1" x14ac:dyDescent="0.25"/>
    <row r="3" spans="1:9" ht="15.75" customHeight="1" x14ac:dyDescent="0.25">
      <c r="B3" s="3"/>
      <c r="C3" s="3" t="s">
        <v>17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spans="1:9" ht="15.75" customHeight="1" x14ac:dyDescent="0.25">
      <c r="B4" s="2" t="s">
        <v>8</v>
      </c>
      <c r="C4" s="5">
        <v>5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6">
        <f>SUM(D4:H4)</f>
        <v>5</v>
      </c>
    </row>
    <row r="5" spans="1:9" ht="15.75" customHeight="1" x14ac:dyDescent="0.25">
      <c r="B5" s="2" t="s">
        <v>32</v>
      </c>
      <c r="C5" s="5">
        <v>4</v>
      </c>
      <c r="D5" s="4">
        <v>1</v>
      </c>
      <c r="E5" s="4">
        <v>1</v>
      </c>
      <c r="F5" s="4">
        <v>0</v>
      </c>
      <c r="G5" s="4">
        <v>1</v>
      </c>
      <c r="H5" s="4">
        <v>1</v>
      </c>
      <c r="I5" s="6">
        <v>4</v>
      </c>
    </row>
    <row r="6" spans="1:9" ht="15.75" customHeight="1" x14ac:dyDescent="0.25">
      <c r="A6" s="3"/>
      <c r="B6" s="2" t="s">
        <v>33</v>
      </c>
      <c r="C6" s="5">
        <v>4</v>
      </c>
      <c r="D6" s="4">
        <v>1</v>
      </c>
      <c r="E6" s="4">
        <v>2</v>
      </c>
      <c r="F6" s="4">
        <v>1</v>
      </c>
      <c r="G6" s="4">
        <v>0</v>
      </c>
      <c r="H6" s="4">
        <v>0</v>
      </c>
      <c r="I6" s="6">
        <v>4</v>
      </c>
    </row>
    <row r="7" spans="1:9" ht="15.75" customHeight="1" x14ac:dyDescent="0.25"/>
    <row r="8" spans="1:9" ht="15.75" customHeight="1" x14ac:dyDescent="0.25"/>
    <row r="9" spans="1:9" ht="15.75" customHeight="1" x14ac:dyDescent="0.25">
      <c r="C9" s="3"/>
      <c r="D9" s="3"/>
      <c r="E9" s="3"/>
      <c r="F9" s="3"/>
      <c r="G9" s="3"/>
      <c r="H9" s="3"/>
    </row>
    <row r="10" spans="1:9" ht="15.75" customHeight="1" x14ac:dyDescent="0.25"/>
    <row r="11" spans="1:9" ht="15.75" customHeight="1" x14ac:dyDescent="0.25">
      <c r="B11" s="7" t="s">
        <v>27</v>
      </c>
      <c r="C11" s="3">
        <f>SUM(C4:C6)</f>
        <v>13</v>
      </c>
      <c r="D11" s="3">
        <f>C11-SUM(D4:D6)</f>
        <v>10</v>
      </c>
      <c r="E11" s="3">
        <f>D11-SUM(E4:E6)</f>
        <v>6</v>
      </c>
      <c r="F11" s="3">
        <f>E11-SUM(F4:F6)</f>
        <v>4</v>
      </c>
      <c r="G11" s="3">
        <f>F11-SUM(G4:G6)</f>
        <v>2</v>
      </c>
      <c r="H11" s="3">
        <f>G11-SUM(H4:H6)</f>
        <v>0</v>
      </c>
    </row>
    <row r="12" spans="1:9" ht="15.75" customHeight="1" x14ac:dyDescent="0.25">
      <c r="B12" s="7" t="s">
        <v>28</v>
      </c>
      <c r="C12" s="3">
        <f>SUM(C4:C6)</f>
        <v>13</v>
      </c>
      <c r="D12" s="3">
        <f>C12-(SUM(C4:C6)/5)</f>
        <v>10.4</v>
      </c>
      <c r="E12" s="3">
        <f>D12-(SUM(C4:C6)/5)</f>
        <v>7.8000000000000007</v>
      </c>
      <c r="F12" s="3">
        <f>E12-(SUM(C4:C6)/5)</f>
        <v>5.2000000000000011</v>
      </c>
      <c r="G12" s="3">
        <f>F12-(SUM(C4:C6)/5)</f>
        <v>2.600000000000001</v>
      </c>
      <c r="H12" s="3">
        <f>G12-(SUM(C4:C6)/5)</f>
        <v>0</v>
      </c>
    </row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>
      <c r="B16" s="32" t="s">
        <v>29</v>
      </c>
      <c r="C16" s="32"/>
      <c r="D16" s="32"/>
      <c r="E16" s="32"/>
      <c r="F16" s="32"/>
      <c r="G16" s="32"/>
    </row>
    <row r="17" spans="2:9" ht="15.75" customHeight="1" x14ac:dyDescent="0.25">
      <c r="B17" s="32"/>
      <c r="C17" s="32"/>
      <c r="D17" s="32"/>
      <c r="E17" s="32"/>
      <c r="F17" s="32"/>
      <c r="G17" s="32"/>
    </row>
    <row r="18" spans="2:9" ht="15.75" customHeight="1" x14ac:dyDescent="0.25">
      <c r="B18" s="32"/>
      <c r="C18" s="32"/>
      <c r="D18" s="32"/>
      <c r="E18" s="32"/>
      <c r="F18" s="32"/>
      <c r="G18" s="32"/>
    </row>
    <row r="19" spans="2:9" ht="15.75" customHeight="1" x14ac:dyDescent="0.25">
      <c r="B19" s="32"/>
      <c r="C19" s="32"/>
      <c r="D19" s="32"/>
      <c r="E19" s="32"/>
      <c r="F19" s="32"/>
      <c r="G19" s="32"/>
    </row>
    <row r="20" spans="2:9" ht="15.75" customHeight="1" x14ac:dyDescent="0.25">
      <c r="B20" s="32"/>
      <c r="C20" s="32"/>
      <c r="D20" s="32"/>
      <c r="E20" s="32"/>
      <c r="F20" s="32"/>
      <c r="G20" s="32"/>
    </row>
    <row r="21" spans="2:9" ht="15.75" customHeight="1" x14ac:dyDescent="0.25">
      <c r="B21" s="32"/>
      <c r="C21" s="32"/>
      <c r="D21" s="32"/>
      <c r="E21" s="32"/>
      <c r="F21" s="32"/>
      <c r="G21" s="32"/>
    </row>
    <row r="22" spans="2:9" ht="15.75" customHeight="1" x14ac:dyDescent="0.25">
      <c r="B22" s="32"/>
      <c r="C22" s="32"/>
      <c r="D22" s="32"/>
      <c r="E22" s="32"/>
      <c r="F22" s="32"/>
      <c r="G22" s="32"/>
    </row>
    <row r="23" spans="2:9" ht="15.75" customHeight="1" x14ac:dyDescent="0.25">
      <c r="B23" s="32"/>
      <c r="C23" s="32"/>
      <c r="D23" s="32"/>
      <c r="E23" s="32"/>
      <c r="F23" s="32"/>
      <c r="G23" s="32"/>
    </row>
    <row r="24" spans="2:9" ht="15.75" customHeight="1" x14ac:dyDescent="0.25"/>
    <row r="25" spans="2:9" ht="15.75" customHeight="1" x14ac:dyDescent="0.25"/>
    <row r="26" spans="2:9" ht="15.75" customHeight="1" x14ac:dyDescent="0.25"/>
    <row r="27" spans="2:9" ht="15.75" customHeight="1" x14ac:dyDescent="0.25"/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>
      <c r="B32" s="3"/>
      <c r="C32" s="3" t="s">
        <v>17</v>
      </c>
      <c r="D32" s="3" t="s">
        <v>21</v>
      </c>
      <c r="E32" s="3" t="s">
        <v>22</v>
      </c>
      <c r="F32" s="3" t="s">
        <v>23</v>
      </c>
      <c r="G32" s="3" t="s">
        <v>24</v>
      </c>
      <c r="H32" s="3" t="s">
        <v>25</v>
      </c>
      <c r="I32" s="3" t="s">
        <v>26</v>
      </c>
    </row>
    <row r="33" spans="2:9" ht="15.75" customHeight="1" x14ac:dyDescent="0.25">
      <c r="B33" s="2" t="s">
        <v>35</v>
      </c>
      <c r="C33" s="5">
        <v>5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6">
        <f>SUM(D33:H33)</f>
        <v>5</v>
      </c>
    </row>
    <row r="34" spans="2:9" ht="15.75" customHeight="1" x14ac:dyDescent="0.25">
      <c r="B34" s="2" t="s">
        <v>36</v>
      </c>
      <c r="C34" s="5">
        <v>4</v>
      </c>
      <c r="D34" s="4">
        <v>1</v>
      </c>
      <c r="E34" s="4">
        <v>1</v>
      </c>
      <c r="F34" s="4">
        <v>1</v>
      </c>
      <c r="G34" s="4">
        <v>1</v>
      </c>
      <c r="H34" s="4">
        <v>0</v>
      </c>
      <c r="I34" s="6">
        <f>SUM(D34:H34)</f>
        <v>4</v>
      </c>
    </row>
    <row r="35" spans="2:9" ht="15.75" customHeight="1" x14ac:dyDescent="0.25">
      <c r="B35" s="2" t="s">
        <v>37</v>
      </c>
      <c r="C35" s="5">
        <v>4</v>
      </c>
      <c r="D35" s="4">
        <v>1</v>
      </c>
      <c r="E35" s="4">
        <v>2</v>
      </c>
      <c r="F35" s="4">
        <v>1</v>
      </c>
      <c r="G35" s="4">
        <v>0</v>
      </c>
      <c r="H35" s="4">
        <v>0</v>
      </c>
      <c r="I35" s="6">
        <f>SUM(D35:H35)</f>
        <v>4</v>
      </c>
    </row>
    <row r="36" spans="2:9" ht="15.75" customHeight="1" x14ac:dyDescent="0.25">
      <c r="B36" s="2" t="s">
        <v>82</v>
      </c>
      <c r="C36" s="5">
        <v>5</v>
      </c>
      <c r="D36" s="4">
        <v>1</v>
      </c>
      <c r="E36" s="4">
        <v>2</v>
      </c>
      <c r="F36" s="4">
        <v>2</v>
      </c>
      <c r="G36" s="4">
        <v>0</v>
      </c>
      <c r="H36" s="4">
        <v>0</v>
      </c>
      <c r="I36" s="6">
        <f>SUM(D36:H36)</f>
        <v>5</v>
      </c>
    </row>
    <row r="37" spans="2:9" ht="15.75" customHeight="1" x14ac:dyDescent="0.25"/>
    <row r="38" spans="2:9" ht="15.75" customHeight="1" x14ac:dyDescent="0.25">
      <c r="B38" s="17"/>
      <c r="C38" s="3"/>
      <c r="D38" s="3"/>
      <c r="E38" s="3"/>
      <c r="F38" s="3"/>
      <c r="G38" s="3"/>
      <c r="H38" s="3"/>
    </row>
    <row r="39" spans="2:9" ht="15.75" customHeight="1" x14ac:dyDescent="0.25"/>
    <row r="40" spans="2:9" ht="15.75" customHeight="1" x14ac:dyDescent="0.25">
      <c r="B40" s="7" t="s">
        <v>27</v>
      </c>
      <c r="C40" s="3">
        <f>SUM(C33:C36)</f>
        <v>18</v>
      </c>
      <c r="D40" s="3">
        <f>C40-SUM(D33:D36)</f>
        <v>14</v>
      </c>
      <c r="E40" s="3">
        <f t="shared" ref="E40:H40" si="0">D40-SUM(E33:E36)</f>
        <v>8</v>
      </c>
      <c r="F40" s="3">
        <f t="shared" si="0"/>
        <v>3</v>
      </c>
      <c r="G40" s="3">
        <f t="shared" si="0"/>
        <v>1</v>
      </c>
      <c r="H40" s="3">
        <f t="shared" si="0"/>
        <v>0</v>
      </c>
    </row>
    <row r="41" spans="2:9" ht="15.75" customHeight="1" x14ac:dyDescent="0.25">
      <c r="B41" s="7" t="s">
        <v>28</v>
      </c>
      <c r="C41" s="3">
        <f>SUM(C33:C36)</f>
        <v>18</v>
      </c>
      <c r="D41" s="3">
        <f>C41-(SUM(C33:C36)/5)</f>
        <v>14.4</v>
      </c>
      <c r="E41" s="3">
        <f t="shared" ref="E41:H41" si="1">D41-(SUM(D33:D36)/5)</f>
        <v>13.6</v>
      </c>
      <c r="F41" s="3">
        <f t="shared" si="1"/>
        <v>12.4</v>
      </c>
      <c r="G41" s="3">
        <f t="shared" si="1"/>
        <v>11.4</v>
      </c>
      <c r="H41" s="3">
        <f t="shared" si="1"/>
        <v>11</v>
      </c>
    </row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>
      <c r="B45" s="32" t="s">
        <v>29</v>
      </c>
      <c r="C45" s="32"/>
      <c r="D45" s="32"/>
      <c r="E45" s="32"/>
      <c r="F45" s="32"/>
      <c r="G45" s="32"/>
    </row>
    <row r="46" spans="2:9" ht="15.75" customHeight="1" x14ac:dyDescent="0.25">
      <c r="B46" s="32"/>
      <c r="C46" s="32"/>
      <c r="D46" s="32"/>
      <c r="E46" s="32"/>
      <c r="F46" s="32"/>
      <c r="G46" s="32"/>
    </row>
    <row r="47" spans="2:9" ht="15.75" customHeight="1" x14ac:dyDescent="0.25">
      <c r="B47" s="32"/>
      <c r="C47" s="32"/>
      <c r="D47" s="32"/>
      <c r="E47" s="32"/>
      <c r="F47" s="32"/>
      <c r="G47" s="32"/>
    </row>
    <row r="48" spans="2:9" ht="15.75" customHeight="1" x14ac:dyDescent="0.25">
      <c r="B48" s="32"/>
      <c r="C48" s="32"/>
      <c r="D48" s="32"/>
      <c r="E48" s="32"/>
      <c r="F48" s="32"/>
      <c r="G48" s="32"/>
    </row>
    <row r="49" spans="2:9" ht="15.75" customHeight="1" x14ac:dyDescent="0.25">
      <c r="B49" s="32"/>
      <c r="C49" s="32"/>
      <c r="D49" s="32"/>
      <c r="E49" s="32"/>
      <c r="F49" s="32"/>
      <c r="G49" s="32"/>
    </row>
    <row r="50" spans="2:9" ht="15.75" customHeight="1" x14ac:dyDescent="0.25">
      <c r="B50" s="32"/>
      <c r="C50" s="32"/>
      <c r="D50" s="32"/>
      <c r="E50" s="32"/>
      <c r="F50" s="32"/>
      <c r="G50" s="32"/>
    </row>
    <row r="51" spans="2:9" ht="15.75" customHeight="1" x14ac:dyDescent="0.25">
      <c r="B51" s="32"/>
      <c r="C51" s="32"/>
      <c r="D51" s="32"/>
      <c r="E51" s="32"/>
      <c r="F51" s="32"/>
      <c r="G51" s="32"/>
    </row>
    <row r="52" spans="2:9" ht="15.75" customHeight="1" x14ac:dyDescent="0.25">
      <c r="B52" s="32"/>
      <c r="C52" s="32"/>
      <c r="D52" s="32"/>
      <c r="E52" s="32"/>
      <c r="F52" s="32"/>
      <c r="G52" s="32"/>
    </row>
    <row r="53" spans="2:9" ht="15.75" customHeight="1" x14ac:dyDescent="0.25"/>
    <row r="54" spans="2:9" ht="15.75" customHeight="1" x14ac:dyDescent="0.25"/>
    <row r="55" spans="2:9" ht="15.75" customHeight="1" x14ac:dyDescent="0.25"/>
    <row r="56" spans="2:9" ht="15.75" customHeight="1" x14ac:dyDescent="0.25"/>
    <row r="57" spans="2:9" ht="15.75" customHeight="1" x14ac:dyDescent="0.25"/>
    <row r="58" spans="2:9" ht="15.75" customHeight="1" x14ac:dyDescent="0.25"/>
    <row r="59" spans="2:9" ht="15.75" customHeight="1" x14ac:dyDescent="0.25"/>
    <row r="60" spans="2:9" ht="15.75" customHeight="1" x14ac:dyDescent="0.25"/>
    <row r="61" spans="2:9" ht="15.75" customHeight="1" x14ac:dyDescent="0.25"/>
    <row r="62" spans="2:9" ht="15.75" customHeight="1" x14ac:dyDescent="0.25"/>
    <row r="63" spans="2:9" ht="15.75" customHeight="1" x14ac:dyDescent="0.25">
      <c r="B63" s="3"/>
      <c r="C63" s="3" t="s">
        <v>17</v>
      </c>
      <c r="D63" s="3" t="s">
        <v>21</v>
      </c>
      <c r="E63" s="3" t="s">
        <v>22</v>
      </c>
      <c r="F63" s="3" t="s">
        <v>23</v>
      </c>
      <c r="G63" s="3" t="s">
        <v>24</v>
      </c>
      <c r="H63" s="3" t="s">
        <v>25</v>
      </c>
      <c r="I63" s="3" t="s">
        <v>26</v>
      </c>
    </row>
    <row r="64" spans="2:9" ht="15.75" customHeight="1" x14ac:dyDescent="0.25">
      <c r="B64" s="2" t="s">
        <v>38</v>
      </c>
      <c r="C64" s="5">
        <v>6</v>
      </c>
      <c r="D64" s="4">
        <v>2</v>
      </c>
      <c r="E64" s="4">
        <v>2</v>
      </c>
      <c r="F64" s="4">
        <v>1</v>
      </c>
      <c r="G64" s="4">
        <v>1</v>
      </c>
      <c r="H64" s="4">
        <v>0</v>
      </c>
      <c r="I64" s="6">
        <f>SUM(D64:H64)</f>
        <v>6</v>
      </c>
    </row>
    <row r="65" spans="2:9" ht="15.75" customHeight="1" x14ac:dyDescent="0.25">
      <c r="B65" s="2" t="s">
        <v>39</v>
      </c>
      <c r="C65" s="5">
        <v>4</v>
      </c>
      <c r="D65" s="4">
        <v>1</v>
      </c>
      <c r="E65" s="4">
        <v>1</v>
      </c>
      <c r="F65" s="4">
        <v>1</v>
      </c>
      <c r="G65" s="4">
        <v>0</v>
      </c>
      <c r="H65" s="4">
        <v>1</v>
      </c>
      <c r="I65" s="6">
        <f>SUM(D65:H65)</f>
        <v>4</v>
      </c>
    </row>
    <row r="66" spans="2:9" ht="15.75" customHeight="1" x14ac:dyDescent="0.25">
      <c r="B66" s="2" t="s">
        <v>40</v>
      </c>
      <c r="C66" s="5">
        <v>5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6">
        <f>SUM(D66:H66)</f>
        <v>5</v>
      </c>
    </row>
    <row r="67" spans="2:9" ht="15.75" customHeight="1" x14ac:dyDescent="0.25">
      <c r="B67" s="2" t="s">
        <v>48</v>
      </c>
      <c r="C67" s="5">
        <v>5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6">
        <f>SUM(D67:H67)</f>
        <v>5</v>
      </c>
    </row>
    <row r="68" spans="2:9" ht="15.75" customHeight="1" x14ac:dyDescent="0.25"/>
    <row r="69" spans="2:9" ht="15.75" customHeight="1" x14ac:dyDescent="0.25">
      <c r="B69" s="17"/>
      <c r="C69" s="3"/>
      <c r="D69" s="3"/>
      <c r="E69" s="3"/>
      <c r="F69" s="3"/>
      <c r="G69" s="3"/>
      <c r="H69" s="3"/>
    </row>
    <row r="70" spans="2:9" ht="15.75" customHeight="1" x14ac:dyDescent="0.25"/>
    <row r="71" spans="2:9" ht="15.75" customHeight="1" x14ac:dyDescent="0.25">
      <c r="B71" s="7" t="s">
        <v>27</v>
      </c>
      <c r="C71" s="3">
        <f>SUM(C64:C67)</f>
        <v>20</v>
      </c>
      <c r="D71" s="3">
        <f>C71-SUM(D64:D67)</f>
        <v>15</v>
      </c>
      <c r="E71" s="3">
        <f t="shared" ref="E71:H71" si="2">D71-SUM(E64:E67)</f>
        <v>10</v>
      </c>
      <c r="F71" s="3">
        <f t="shared" si="2"/>
        <v>6</v>
      </c>
      <c r="G71" s="3">
        <f t="shared" si="2"/>
        <v>3</v>
      </c>
      <c r="H71" s="3">
        <f t="shared" si="2"/>
        <v>0</v>
      </c>
    </row>
    <row r="72" spans="2:9" ht="15.75" customHeight="1" x14ac:dyDescent="0.25">
      <c r="B72" s="7" t="s">
        <v>28</v>
      </c>
      <c r="C72" s="3">
        <f>SUM(C64:C67)</f>
        <v>20</v>
      </c>
      <c r="D72" s="3">
        <f>C72-(SUM(C64:C67)/5)</f>
        <v>16</v>
      </c>
      <c r="E72" s="3">
        <f t="shared" ref="E72:H72" si="3">D72-(SUM(D64:D67)/5)</f>
        <v>15</v>
      </c>
      <c r="F72" s="3">
        <f t="shared" si="3"/>
        <v>14</v>
      </c>
      <c r="G72" s="3">
        <f t="shared" si="3"/>
        <v>13.2</v>
      </c>
      <c r="H72" s="3">
        <f t="shared" si="3"/>
        <v>12.6</v>
      </c>
    </row>
    <row r="73" spans="2:9" ht="15.75" customHeight="1" x14ac:dyDescent="0.25"/>
    <row r="74" spans="2:9" ht="15.75" customHeight="1" x14ac:dyDescent="0.25"/>
    <row r="75" spans="2:9" ht="15.75" customHeight="1" x14ac:dyDescent="0.25"/>
    <row r="76" spans="2:9" ht="15.75" customHeight="1" x14ac:dyDescent="0.25">
      <c r="B76" s="32" t="s">
        <v>29</v>
      </c>
      <c r="C76" s="32"/>
      <c r="D76" s="32"/>
      <c r="E76" s="32"/>
      <c r="F76" s="32"/>
      <c r="G76" s="32"/>
    </row>
    <row r="77" spans="2:9" ht="15.75" customHeight="1" x14ac:dyDescent="0.25">
      <c r="B77" s="32"/>
      <c r="C77" s="32"/>
      <c r="D77" s="32"/>
      <c r="E77" s="32"/>
      <c r="F77" s="32"/>
      <c r="G77" s="32"/>
    </row>
    <row r="78" spans="2:9" ht="15.75" customHeight="1" x14ac:dyDescent="0.25">
      <c r="B78" s="32"/>
      <c r="C78" s="32"/>
      <c r="D78" s="32"/>
      <c r="E78" s="32"/>
      <c r="F78" s="32"/>
      <c r="G78" s="32"/>
    </row>
    <row r="79" spans="2:9" ht="15.75" customHeight="1" x14ac:dyDescent="0.25">
      <c r="B79" s="32"/>
      <c r="C79" s="32"/>
      <c r="D79" s="32"/>
      <c r="E79" s="32"/>
      <c r="F79" s="32"/>
      <c r="G79" s="32"/>
    </row>
    <row r="80" spans="2:9" ht="15.75" customHeight="1" x14ac:dyDescent="0.25">
      <c r="B80" s="32"/>
      <c r="C80" s="32"/>
      <c r="D80" s="32"/>
      <c r="E80" s="32"/>
      <c r="F80" s="32"/>
      <c r="G80" s="32"/>
    </row>
    <row r="81" spans="2:9" ht="15.75" customHeight="1" x14ac:dyDescent="0.25">
      <c r="B81" s="32"/>
      <c r="C81" s="32"/>
      <c r="D81" s="32"/>
      <c r="E81" s="32"/>
      <c r="F81" s="32"/>
      <c r="G81" s="32"/>
    </row>
    <row r="82" spans="2:9" ht="15.75" customHeight="1" x14ac:dyDescent="0.25">
      <c r="B82" s="32"/>
      <c r="C82" s="32"/>
      <c r="D82" s="32"/>
      <c r="E82" s="32"/>
      <c r="F82" s="32"/>
      <c r="G82" s="32"/>
    </row>
    <row r="83" spans="2:9" ht="15.75" customHeight="1" x14ac:dyDescent="0.25">
      <c r="B83" s="32"/>
      <c r="C83" s="32"/>
      <c r="D83" s="32"/>
      <c r="E83" s="32"/>
      <c r="F83" s="32"/>
      <c r="G83" s="32"/>
    </row>
    <row r="84" spans="2:9" ht="15.75" customHeight="1" x14ac:dyDescent="0.25"/>
    <row r="85" spans="2:9" ht="15.75" customHeight="1" x14ac:dyDescent="0.25"/>
    <row r="86" spans="2:9" ht="15.75" customHeight="1" x14ac:dyDescent="0.25"/>
    <row r="87" spans="2:9" ht="15.75" customHeight="1" x14ac:dyDescent="0.25"/>
    <row r="88" spans="2:9" ht="15.75" customHeight="1" x14ac:dyDescent="0.25"/>
    <row r="89" spans="2:9" ht="15.75" customHeight="1" x14ac:dyDescent="0.25"/>
    <row r="90" spans="2:9" ht="15.75" customHeight="1" x14ac:dyDescent="0.25"/>
    <row r="91" spans="2:9" ht="15.75" customHeight="1" x14ac:dyDescent="0.25"/>
    <row r="92" spans="2:9" ht="15.75" customHeight="1" x14ac:dyDescent="0.25"/>
    <row r="93" spans="2:9" ht="15.75" customHeight="1" x14ac:dyDescent="0.25"/>
    <row r="94" spans="2:9" ht="15.75" customHeight="1" x14ac:dyDescent="0.25"/>
    <row r="95" spans="2:9" ht="15.75" customHeight="1" x14ac:dyDescent="0.25">
      <c r="B95" s="3"/>
      <c r="C95" s="3" t="s">
        <v>17</v>
      </c>
      <c r="D95" s="3" t="s">
        <v>21</v>
      </c>
      <c r="E95" s="3" t="s">
        <v>22</v>
      </c>
      <c r="F95" s="3" t="s">
        <v>23</v>
      </c>
      <c r="G95" s="3" t="s">
        <v>24</v>
      </c>
      <c r="H95" s="3" t="s">
        <v>25</v>
      </c>
      <c r="I95" s="3" t="s">
        <v>26</v>
      </c>
    </row>
    <row r="96" spans="2:9" ht="15.75" customHeight="1" x14ac:dyDescent="0.25">
      <c r="B96" s="2" t="s">
        <v>41</v>
      </c>
      <c r="C96" s="5">
        <v>5</v>
      </c>
      <c r="D96" s="4">
        <v>1</v>
      </c>
      <c r="E96" s="4">
        <v>1</v>
      </c>
      <c r="F96" s="4">
        <v>1</v>
      </c>
      <c r="G96" s="4">
        <v>1</v>
      </c>
      <c r="H96" s="4">
        <v>1</v>
      </c>
      <c r="I96" s="6">
        <f>SUM(D96:H96)</f>
        <v>5</v>
      </c>
    </row>
    <row r="97" spans="2:9" ht="15.75" customHeight="1" x14ac:dyDescent="0.25">
      <c r="B97" s="2" t="s">
        <v>42</v>
      </c>
      <c r="C97" s="5">
        <v>4</v>
      </c>
      <c r="D97" s="4">
        <v>1</v>
      </c>
      <c r="E97" s="4">
        <v>1</v>
      </c>
      <c r="F97" s="4">
        <v>1</v>
      </c>
      <c r="G97" s="4">
        <v>1</v>
      </c>
      <c r="H97" s="4">
        <v>0</v>
      </c>
      <c r="I97" s="6">
        <f>SUM(D97:H97)</f>
        <v>4</v>
      </c>
    </row>
    <row r="98" spans="2:9" ht="15.75" customHeight="1" x14ac:dyDescent="0.25">
      <c r="B98" s="2" t="s">
        <v>43</v>
      </c>
      <c r="C98" s="5">
        <v>6</v>
      </c>
      <c r="D98" s="4">
        <v>2</v>
      </c>
      <c r="E98" s="4">
        <v>1</v>
      </c>
      <c r="F98" s="4">
        <v>1</v>
      </c>
      <c r="G98" s="4">
        <v>1</v>
      </c>
      <c r="H98" s="4">
        <v>1</v>
      </c>
      <c r="I98" s="6">
        <f>SUM(D98:H98)</f>
        <v>6</v>
      </c>
    </row>
    <row r="99" spans="2:9" ht="15.75" customHeight="1" x14ac:dyDescent="0.25">
      <c r="B99" s="2" t="s">
        <v>83</v>
      </c>
      <c r="C99" s="5">
        <v>6</v>
      </c>
      <c r="D99" s="4">
        <v>2</v>
      </c>
      <c r="E99" s="4">
        <v>1</v>
      </c>
      <c r="F99" s="4">
        <v>1</v>
      </c>
      <c r="G99" s="4">
        <v>1</v>
      </c>
      <c r="H99" s="4">
        <v>1</v>
      </c>
      <c r="I99" s="6">
        <f>SUM(D99:H99)</f>
        <v>6</v>
      </c>
    </row>
    <row r="100" spans="2:9" ht="15.75" customHeight="1" x14ac:dyDescent="0.25"/>
    <row r="101" spans="2:9" ht="15.75" customHeight="1" x14ac:dyDescent="0.25">
      <c r="B101" s="17"/>
      <c r="C101" s="3"/>
      <c r="D101" s="3"/>
      <c r="E101" s="3"/>
      <c r="F101" s="3"/>
      <c r="G101" s="3"/>
      <c r="H101" s="3"/>
    </row>
    <row r="102" spans="2:9" ht="15.75" customHeight="1" x14ac:dyDescent="0.25"/>
    <row r="103" spans="2:9" ht="15.75" customHeight="1" x14ac:dyDescent="0.25">
      <c r="B103" s="7" t="s">
        <v>27</v>
      </c>
      <c r="C103" s="3">
        <f>SUM(C96:C99)</f>
        <v>21</v>
      </c>
      <c r="D103" s="3">
        <f>C103-SUM(D96:D99)</f>
        <v>15</v>
      </c>
      <c r="E103" s="3">
        <f t="shared" ref="E103:H103" si="4">D103-SUM(E96:E99)</f>
        <v>11</v>
      </c>
      <c r="F103" s="3">
        <f t="shared" si="4"/>
        <v>7</v>
      </c>
      <c r="G103" s="3">
        <f t="shared" si="4"/>
        <v>3</v>
      </c>
      <c r="H103" s="3">
        <f t="shared" si="4"/>
        <v>0</v>
      </c>
    </row>
    <row r="104" spans="2:9" ht="15.75" customHeight="1" x14ac:dyDescent="0.25">
      <c r="B104" s="7" t="s">
        <v>28</v>
      </c>
      <c r="C104" s="3">
        <f>SUM(C96:C99)</f>
        <v>21</v>
      </c>
      <c r="D104" s="3">
        <f>C104-(SUM(C96:C99)/5)</f>
        <v>16.8</v>
      </c>
      <c r="E104" s="3">
        <f t="shared" ref="E104:H104" si="5">D104-(SUM(D96:D99)/5)</f>
        <v>15.600000000000001</v>
      </c>
      <c r="F104" s="3">
        <f t="shared" si="5"/>
        <v>14.8</v>
      </c>
      <c r="G104" s="3">
        <f t="shared" si="5"/>
        <v>14</v>
      </c>
      <c r="H104" s="3">
        <f t="shared" si="5"/>
        <v>13.2</v>
      </c>
    </row>
    <row r="105" spans="2:9" ht="15.75" customHeight="1" x14ac:dyDescent="0.25"/>
    <row r="106" spans="2:9" ht="15.75" customHeight="1" x14ac:dyDescent="0.25"/>
    <row r="107" spans="2:9" ht="15.75" customHeight="1" x14ac:dyDescent="0.25"/>
    <row r="108" spans="2:9" ht="15.75" customHeight="1" x14ac:dyDescent="0.25">
      <c r="B108" s="32" t="s">
        <v>29</v>
      </c>
      <c r="C108" s="32"/>
      <c r="D108" s="32"/>
      <c r="E108" s="32"/>
      <c r="F108" s="32"/>
      <c r="G108" s="32"/>
    </row>
    <row r="109" spans="2:9" ht="15.75" customHeight="1" x14ac:dyDescent="0.25">
      <c r="B109" s="32"/>
      <c r="C109" s="32"/>
      <c r="D109" s="32"/>
      <c r="E109" s="32"/>
      <c r="F109" s="32"/>
      <c r="G109" s="32"/>
    </row>
    <row r="110" spans="2:9" ht="15.75" customHeight="1" x14ac:dyDescent="0.25">
      <c r="B110" s="32"/>
      <c r="C110" s="32"/>
      <c r="D110" s="32"/>
      <c r="E110" s="32"/>
      <c r="F110" s="32"/>
      <c r="G110" s="32"/>
    </row>
    <row r="111" spans="2:9" ht="15.75" customHeight="1" x14ac:dyDescent="0.25">
      <c r="B111" s="32"/>
      <c r="C111" s="32"/>
      <c r="D111" s="32"/>
      <c r="E111" s="32"/>
      <c r="F111" s="32"/>
      <c r="G111" s="32"/>
    </row>
    <row r="112" spans="2:9" ht="15.75" customHeight="1" x14ac:dyDescent="0.25">
      <c r="B112" s="32"/>
      <c r="C112" s="32"/>
      <c r="D112" s="32"/>
      <c r="E112" s="32"/>
      <c r="F112" s="32"/>
      <c r="G112" s="32"/>
    </row>
    <row r="113" spans="2:7" ht="15.75" customHeight="1" x14ac:dyDescent="0.25">
      <c r="B113" s="32"/>
      <c r="C113" s="32"/>
      <c r="D113" s="32"/>
      <c r="E113" s="32"/>
      <c r="F113" s="32"/>
      <c r="G113" s="32"/>
    </row>
    <row r="114" spans="2:7" ht="15.75" customHeight="1" x14ac:dyDescent="0.25">
      <c r="B114" s="32"/>
      <c r="C114" s="32"/>
      <c r="D114" s="32"/>
      <c r="E114" s="32"/>
      <c r="F114" s="32"/>
      <c r="G114" s="32"/>
    </row>
    <row r="115" spans="2:7" ht="15.75" customHeight="1" x14ac:dyDescent="0.25">
      <c r="B115" s="32"/>
      <c r="C115" s="32"/>
      <c r="D115" s="32"/>
      <c r="E115" s="32"/>
      <c r="F115" s="32"/>
      <c r="G115" s="32"/>
    </row>
    <row r="116" spans="2:7" ht="15.75" customHeight="1" x14ac:dyDescent="0.25"/>
    <row r="117" spans="2:7" ht="15.75" customHeight="1" x14ac:dyDescent="0.25"/>
    <row r="118" spans="2:7" ht="15.75" customHeight="1" x14ac:dyDescent="0.25"/>
    <row r="119" spans="2:7" ht="15.75" customHeight="1" x14ac:dyDescent="0.25"/>
    <row r="120" spans="2:7" ht="15.75" customHeight="1" x14ac:dyDescent="0.25"/>
    <row r="121" spans="2:7" ht="15.75" customHeight="1" x14ac:dyDescent="0.25"/>
    <row r="122" spans="2:7" ht="15.75" customHeight="1" x14ac:dyDescent="0.25"/>
    <row r="123" spans="2:7" ht="15.75" customHeight="1" x14ac:dyDescent="0.25"/>
    <row r="124" spans="2:7" ht="15.75" customHeight="1" x14ac:dyDescent="0.25"/>
    <row r="125" spans="2:7" ht="15.75" customHeight="1" x14ac:dyDescent="0.25"/>
    <row r="126" spans="2:7" ht="15.75" customHeight="1" x14ac:dyDescent="0.25"/>
    <row r="127" spans="2:7" ht="15.75" customHeight="1" x14ac:dyDescent="0.25"/>
    <row r="128" spans="2:7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mergeCells count="4">
    <mergeCell ref="B108:G115"/>
    <mergeCell ref="B16:G23"/>
    <mergeCell ref="B45:G52"/>
    <mergeCell ref="B76:G83"/>
  </mergeCells>
  <phoneticPr fontId="4" type="noConversion"/>
  <pageMargins left="0.7" right="0.7" top="0.75" bottom="0.75" header="0" footer="0"/>
  <pageSetup orientation="landscape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Backlog</vt:lpstr>
      <vt:lpstr>sprint0</vt:lpstr>
      <vt:lpstr>sprint1</vt:lpstr>
      <vt:lpstr>sprint2</vt:lpstr>
      <vt:lpstr>sprint3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Kevin Andrès Cañola Marquez</cp:lastModifiedBy>
  <dcterms:created xsi:type="dcterms:W3CDTF">2023-06-05T13:12:31Z</dcterms:created>
  <dcterms:modified xsi:type="dcterms:W3CDTF">2025-11-26T15:04:57Z</dcterms:modified>
</cp:coreProperties>
</file>