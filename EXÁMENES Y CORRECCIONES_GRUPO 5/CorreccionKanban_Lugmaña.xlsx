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300\Desktop\"/>
    </mc:Choice>
  </mc:AlternateContent>
  <xr:revisionPtr revIDLastSave="0" documentId="8_{9D8C8574-AFA8-4F2A-805F-6643462DD441}" xr6:coauthVersionLast="47" xr6:coauthVersionMax="47" xr10:uidLastSave="{00000000-0000-0000-0000-000000000000}"/>
  <workbookProtection lockStructure="1"/>
  <bookViews>
    <workbookView xWindow="-120" yWindow="-120" windowWidth="24240" windowHeight="130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D57" i="5" s="1" a="1"/>
  <c r="D57" i="5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4" i="5"/>
  <c r="G77" i="5"/>
  <c r="G68" i="5"/>
  <c r="G78" i="5"/>
  <c r="G91" i="5"/>
  <c r="G12" i="5"/>
  <c r="G81" i="5"/>
  <c r="G30" i="5"/>
  <c r="G15" i="5"/>
  <c r="G101" i="5"/>
  <c r="G87" i="5"/>
  <c r="G56" i="5"/>
  <c r="G33" i="5"/>
  <c r="G93" i="5"/>
  <c r="G6" i="5"/>
  <c r="G44" i="5"/>
  <c r="G100" i="5"/>
  <c r="G92" i="5"/>
  <c r="G74" i="5"/>
  <c r="G41" i="5"/>
  <c r="G84" i="5"/>
  <c r="G29" i="5"/>
  <c r="G35" i="5"/>
  <c r="G58" i="5"/>
  <c r="G63" i="5"/>
  <c r="G85" i="5"/>
  <c r="G25" i="5"/>
  <c r="G42" i="5"/>
  <c r="G50" i="5"/>
  <c r="G55" i="5"/>
  <c r="G31" i="5"/>
  <c r="G46" i="5"/>
  <c r="G54" i="5"/>
  <c r="G36" i="5"/>
  <c r="G4" i="5"/>
  <c r="G43" i="5"/>
  <c r="G67" i="5"/>
  <c r="G53" i="5"/>
  <c r="G64" i="5"/>
  <c r="G83" i="5"/>
  <c r="G98" i="5"/>
  <c r="G79" i="5"/>
  <c r="G60" i="5"/>
  <c r="G7" i="5"/>
  <c r="G18" i="5"/>
  <c r="G72" i="5"/>
  <c r="G9" i="5"/>
  <c r="G48" i="5"/>
  <c r="G86" i="5"/>
  <c r="G26" i="5"/>
  <c r="G51" i="5"/>
  <c r="G66" i="5"/>
  <c r="G88" i="5"/>
  <c r="G70" i="5"/>
  <c r="G32" i="5"/>
  <c r="G61" i="5"/>
  <c r="G65" i="5"/>
  <c r="G5" i="5"/>
  <c r="G22" i="5"/>
  <c r="G38" i="5"/>
  <c r="G89" i="5"/>
  <c r="G13" i="5"/>
  <c r="G69" i="5"/>
  <c r="G19" i="5"/>
  <c r="G11" i="5"/>
  <c r="G20" i="5"/>
  <c r="G76" i="5"/>
  <c r="G28" i="5"/>
  <c r="G14" i="5"/>
  <c r="G39" i="5"/>
  <c r="G75" i="5"/>
  <c r="G37" i="5"/>
  <c r="G16" i="5"/>
  <c r="G24" i="5"/>
  <c r="G17" i="5"/>
  <c r="G47" i="5"/>
  <c r="G94" i="5"/>
  <c r="G97" i="5"/>
  <c r="G27" i="5"/>
  <c r="G73" i="5"/>
  <c r="G40" i="5"/>
  <c r="G80" i="5"/>
  <c r="G23" i="5"/>
  <c r="G57" i="5"/>
  <c r="G3" i="5"/>
  <c r="G95" i="5"/>
  <c r="G59" i="5"/>
  <c r="G49" i="5"/>
  <c r="G2" i="5"/>
  <c r="G62" i="5"/>
  <c r="G10" i="5"/>
  <c r="G21" i="5"/>
  <c r="G45" i="5"/>
  <c r="G8" i="5"/>
  <c r="G96" i="5"/>
  <c r="G90" i="5"/>
  <c r="G71" i="5"/>
  <c r="G99" i="5"/>
  <c r="G82" i="5"/>
  <c r="G5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91" i="5"/>
  <c r="M17" i="5"/>
  <c r="E3" i="5"/>
  <c r="N72" i="5"/>
  <c r="E59" i="5"/>
  <c r="M32" i="5"/>
  <c r="N48" i="5"/>
  <c r="N76" i="5"/>
  <c r="M98" i="5"/>
  <c r="M6" i="5"/>
  <c r="E21" i="5"/>
  <c r="N28" i="5"/>
  <c r="E15" i="5"/>
  <c r="E93" i="5"/>
  <c r="N3" i="5"/>
  <c r="M71" i="5"/>
  <c r="M78" i="5"/>
  <c r="N80" i="5"/>
  <c r="N89" i="5"/>
  <c r="E28" i="5"/>
  <c r="E85" i="5"/>
  <c r="M65" i="5"/>
  <c r="N65" i="5"/>
  <c r="N52" i="5"/>
  <c r="E90" i="5"/>
  <c r="E60" i="5"/>
  <c r="E24" i="5"/>
  <c r="E82" i="5"/>
  <c r="M48" i="5"/>
  <c r="M5" i="5"/>
  <c r="E52" i="5"/>
  <c r="M86" i="5"/>
  <c r="E62" i="5"/>
  <c r="E66" i="5"/>
  <c r="M92" i="5"/>
  <c r="N98" i="5"/>
  <c r="M100" i="5"/>
  <c r="M93" i="5"/>
  <c r="N95" i="5"/>
  <c r="E19" i="5"/>
  <c r="E8" i="5"/>
  <c r="N13" i="5"/>
  <c r="M61" i="5"/>
  <c r="N33" i="5"/>
  <c r="M79" i="5"/>
  <c r="E96" i="5"/>
  <c r="E94" i="5"/>
  <c r="M33" i="5"/>
  <c r="N16" i="5"/>
  <c r="M89" i="5"/>
  <c r="E83" i="5"/>
  <c r="M53" i="5"/>
  <c r="E39" i="5"/>
  <c r="E41" i="5"/>
  <c r="M35" i="5"/>
  <c r="N69" i="5"/>
  <c r="E92" i="5"/>
  <c r="M20" i="5"/>
  <c r="E22" i="5"/>
  <c r="E91" i="5"/>
  <c r="M14" i="5"/>
  <c r="N31" i="5"/>
  <c r="N34" i="5"/>
  <c r="N54" i="5"/>
  <c r="E81" i="5"/>
  <c r="M49" i="5"/>
  <c r="E12" i="5"/>
  <c r="N23" i="5"/>
  <c r="M11" i="5"/>
  <c r="N60" i="5"/>
  <c r="M83" i="5"/>
  <c r="N67" i="5"/>
  <c r="N73" i="5"/>
  <c r="N87" i="5"/>
  <c r="E45" i="5"/>
  <c r="M7" i="5"/>
  <c r="M66" i="5"/>
  <c r="M57" i="5"/>
  <c r="M39" i="5"/>
  <c r="N92" i="5"/>
  <c r="N71" i="5"/>
  <c r="N20" i="5"/>
  <c r="E38" i="5"/>
  <c r="M16" i="5"/>
  <c r="M56" i="5"/>
  <c r="M91" i="5"/>
  <c r="N44" i="5"/>
  <c r="E25" i="5"/>
  <c r="E18" i="5"/>
  <c r="E26" i="5"/>
  <c r="E75" i="5"/>
  <c r="N101" i="5"/>
  <c r="M62" i="5"/>
  <c r="E4" i="5"/>
  <c r="N35" i="5"/>
  <c r="N8" i="5"/>
  <c r="E80" i="5"/>
  <c r="N83" i="5"/>
  <c r="N78" i="5"/>
  <c r="N62" i="5"/>
  <c r="N5" i="5"/>
  <c r="N22" i="5"/>
  <c r="N58" i="5"/>
  <c r="N70" i="5"/>
  <c r="E58" i="5"/>
  <c r="N41" i="5"/>
  <c r="E10" i="5"/>
  <c r="E68" i="5"/>
  <c r="N6" i="5"/>
  <c r="N86" i="5"/>
  <c r="M68" i="5"/>
  <c r="E63" i="5"/>
  <c r="N88" i="5"/>
  <c r="N12" i="5"/>
  <c r="E77" i="5"/>
  <c r="E40" i="5"/>
  <c r="M47" i="5"/>
  <c r="M67" i="5"/>
  <c r="E20" i="5"/>
  <c r="E23" i="5"/>
  <c r="N77" i="5"/>
  <c r="E27" i="5"/>
  <c r="E87" i="5"/>
  <c r="M96" i="5"/>
  <c r="M38" i="5"/>
  <c r="E46" i="5"/>
  <c r="M64" i="5"/>
  <c r="N42" i="5"/>
  <c r="E2" i="5"/>
  <c r="M43" i="5"/>
  <c r="E71" i="5"/>
  <c r="M40" i="5"/>
  <c r="N99" i="5"/>
  <c r="N82" i="5"/>
  <c r="N29" i="5"/>
  <c r="N32" i="5"/>
  <c r="M97" i="5"/>
  <c r="E7" i="5"/>
  <c r="N51" i="5"/>
  <c r="M30" i="5"/>
  <c r="E35" i="5"/>
  <c r="E99" i="5"/>
  <c r="E72" i="5"/>
  <c r="N43" i="5"/>
  <c r="E30" i="5"/>
  <c r="M18" i="5"/>
  <c r="E88" i="5"/>
  <c r="N100" i="5"/>
  <c r="N10" i="5"/>
  <c r="E64" i="5"/>
  <c r="M24" i="5"/>
  <c r="N96" i="5"/>
  <c r="E95" i="5"/>
  <c r="E84" i="5"/>
  <c r="N50" i="5"/>
  <c r="N66" i="5"/>
  <c r="N68" i="5"/>
  <c r="M80" i="5"/>
  <c r="M82" i="5"/>
  <c r="N56" i="5"/>
  <c r="N85" i="5"/>
  <c r="E76" i="5"/>
  <c r="M72" i="5"/>
  <c r="M9" i="5"/>
  <c r="N21" i="5"/>
  <c r="E65" i="5"/>
  <c r="N57" i="5"/>
  <c r="M27" i="5"/>
  <c r="E6" i="5"/>
  <c r="N93" i="5"/>
  <c r="N37" i="5"/>
  <c r="M52" i="5"/>
  <c r="M69" i="5"/>
  <c r="E74" i="5"/>
  <c r="E32" i="5"/>
  <c r="M8" i="5"/>
  <c r="E50" i="5"/>
  <c r="E14" i="5"/>
  <c r="E36" i="5"/>
  <c r="E100" i="5"/>
  <c r="M54" i="5"/>
  <c r="M76" i="5"/>
  <c r="E69" i="5"/>
  <c r="N40" i="5"/>
  <c r="M73" i="5"/>
  <c r="E43" i="5"/>
  <c r="E37" i="5"/>
  <c r="N47" i="5"/>
  <c r="M81" i="5"/>
  <c r="M28" i="5"/>
  <c r="N24" i="5"/>
  <c r="M4" i="5"/>
  <c r="M94" i="5"/>
  <c r="E31" i="5"/>
  <c r="N14" i="5"/>
  <c r="E89" i="5"/>
  <c r="E70" i="5"/>
  <c r="N61" i="5"/>
  <c r="E78" i="5"/>
  <c r="E48" i="5"/>
  <c r="N26" i="5"/>
  <c r="N53" i="5"/>
  <c r="N55" i="5"/>
  <c r="M50" i="5"/>
  <c r="N38" i="5"/>
  <c r="E9" i="5"/>
  <c r="M15" i="5"/>
  <c r="M101" i="5"/>
  <c r="N59" i="5"/>
  <c r="E34" i="5"/>
  <c r="N74" i="5"/>
  <c r="M59" i="5"/>
  <c r="M41" i="5"/>
  <c r="M36" i="5"/>
  <c r="N27" i="5"/>
  <c r="N97" i="5"/>
  <c r="N64" i="5"/>
  <c r="E51" i="5"/>
  <c r="E5" i="5"/>
  <c r="N17" i="5"/>
  <c r="M13" i="5"/>
  <c r="N39" i="5"/>
  <c r="E86" i="5"/>
  <c r="E33" i="5"/>
  <c r="E11" i="5"/>
  <c r="M85" i="5"/>
  <c r="N45" i="5"/>
  <c r="M74" i="5"/>
  <c r="M55" i="5"/>
  <c r="M21" i="5"/>
  <c r="M23" i="5"/>
  <c r="E67" i="5"/>
  <c r="N30" i="5"/>
  <c r="N90" i="5"/>
  <c r="E97" i="5"/>
  <c r="N49" i="5"/>
  <c r="N63" i="5"/>
  <c r="E73" i="5"/>
  <c r="E98" i="5"/>
  <c r="E42" i="5"/>
  <c r="M95" i="5"/>
  <c r="M34" i="5"/>
  <c r="E79" i="5"/>
  <c r="N25" i="5"/>
  <c r="N2" i="5"/>
  <c r="E17" i="5"/>
  <c r="N81" i="5"/>
  <c r="M75" i="5"/>
  <c r="E44" i="5"/>
  <c r="M31" i="5"/>
  <c r="M2" i="5"/>
  <c r="E47" i="5"/>
  <c r="M99" i="5"/>
  <c r="M63" i="5"/>
  <c r="E54" i="5"/>
  <c r="E101" i="5"/>
  <c r="E56" i="5"/>
  <c r="M44" i="5"/>
  <c r="N75" i="5"/>
  <c r="M26" i="5"/>
  <c r="M45" i="5"/>
  <c r="E13" i="5"/>
  <c r="E29" i="5"/>
  <c r="M90" i="5"/>
  <c r="N46" i="5"/>
  <c r="M60" i="5"/>
  <c r="E49" i="5"/>
  <c r="N7" i="5"/>
  <c r="M70" i="5"/>
  <c r="E61" i="5"/>
  <c r="M25" i="5"/>
  <c r="M3" i="5"/>
  <c r="E16" i="5"/>
  <c r="M84" i="5"/>
  <c r="M46" i="5"/>
  <c r="N19" i="5"/>
  <c r="N18" i="5"/>
  <c r="M29" i="5"/>
  <c r="N36" i="5"/>
  <c r="M10" i="5"/>
  <c r="N94" i="5"/>
  <c r="E53" i="5"/>
  <c r="M19" i="5"/>
  <c r="M77" i="5"/>
  <c r="E55" i="5"/>
  <c r="N11" i="5"/>
  <c r="M37" i="5"/>
  <c r="N9" i="5"/>
  <c r="M42" i="5"/>
  <c r="N79" i="5"/>
  <c r="M58" i="5"/>
  <c r="E57" i="5"/>
  <c r="M87" i="5"/>
  <c r="M88" i="5"/>
  <c r="M22" i="5"/>
  <c r="M51" i="5"/>
  <c r="N15" i="5"/>
  <c r="N4" i="5"/>
  <c r="N84" i="5"/>
  <c r="M1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72" i="5"/>
  <c r="J76" i="5"/>
  <c r="J42" i="5"/>
  <c r="J10" i="5"/>
  <c r="J99" i="5"/>
  <c r="J5" i="5"/>
  <c r="L75" i="5"/>
  <c r="L48" i="5"/>
  <c r="L72" i="5"/>
  <c r="L8" i="5"/>
  <c r="J21" i="5"/>
  <c r="L9" i="5"/>
  <c r="J98" i="5"/>
  <c r="L45" i="5"/>
  <c r="J48" i="5"/>
  <c r="L40" i="5"/>
  <c r="L25" i="5"/>
  <c r="J83" i="5"/>
  <c r="J81" i="5"/>
  <c r="J20" i="5"/>
  <c r="J85" i="5"/>
  <c r="J8" i="5"/>
  <c r="L95" i="5"/>
  <c r="J31" i="5"/>
  <c r="L85" i="5"/>
  <c r="L63" i="5"/>
  <c r="J11" i="5"/>
  <c r="L101" i="5"/>
  <c r="J29" i="5"/>
  <c r="L7" i="5"/>
  <c r="J33" i="5"/>
  <c r="L15" i="5"/>
  <c r="L64" i="5"/>
  <c r="J69" i="5"/>
  <c r="L27" i="5"/>
  <c r="L37" i="5"/>
  <c r="J36" i="5"/>
  <c r="L83" i="5"/>
  <c r="L46" i="5"/>
  <c r="J71" i="5"/>
  <c r="J89" i="5"/>
  <c r="J43" i="5"/>
  <c r="L35" i="5"/>
  <c r="L78" i="5"/>
  <c r="L22" i="5"/>
  <c r="J64" i="5"/>
  <c r="J67" i="5"/>
  <c r="L36" i="5"/>
  <c r="L51" i="5"/>
  <c r="J27" i="5"/>
  <c r="L73" i="5"/>
  <c r="J70" i="5"/>
  <c r="L30" i="5"/>
  <c r="L14" i="5"/>
  <c r="L12" i="5"/>
  <c r="L61" i="5"/>
  <c r="L26" i="5"/>
  <c r="J60" i="5"/>
  <c r="L10" i="5"/>
  <c r="J91" i="5"/>
  <c r="J49" i="5"/>
  <c r="L20" i="5"/>
  <c r="J37" i="5"/>
  <c r="J57" i="5"/>
  <c r="J82" i="5"/>
  <c r="J2" i="5"/>
  <c r="L88" i="5"/>
  <c r="J7" i="5"/>
  <c r="J66" i="5"/>
  <c r="L2" i="5"/>
  <c r="J77" i="5"/>
  <c r="J73" i="5"/>
  <c r="L87" i="5"/>
  <c r="J58" i="5"/>
  <c r="L11" i="5"/>
  <c r="L58" i="5"/>
  <c r="L24" i="5"/>
  <c r="L84" i="5"/>
  <c r="L97" i="5"/>
  <c r="J39" i="5"/>
  <c r="J28" i="5"/>
  <c r="J45" i="5"/>
  <c r="L62" i="5"/>
  <c r="L29" i="5"/>
  <c r="L79" i="5"/>
  <c r="L81" i="5"/>
  <c r="L96" i="5"/>
  <c r="L74" i="5"/>
  <c r="J32" i="5"/>
  <c r="J6" i="5"/>
  <c r="J17" i="5"/>
  <c r="L52" i="5"/>
  <c r="L49" i="5"/>
  <c r="L31" i="5"/>
  <c r="L91" i="5"/>
  <c r="J97" i="5"/>
  <c r="L18" i="5"/>
  <c r="J51" i="5"/>
  <c r="L60" i="5"/>
  <c r="L94" i="5"/>
  <c r="J47" i="5"/>
  <c r="L56" i="5"/>
  <c r="J100" i="5"/>
  <c r="L92" i="5"/>
  <c r="J59" i="5"/>
  <c r="L59" i="5"/>
  <c r="L3" i="5"/>
  <c r="J41" i="5"/>
  <c r="J34" i="5"/>
  <c r="J63" i="5"/>
  <c r="J80" i="5"/>
  <c r="L98" i="5"/>
  <c r="L42" i="5"/>
  <c r="L67" i="5"/>
  <c r="L70" i="5"/>
  <c r="L33" i="5"/>
  <c r="J4" i="5"/>
  <c r="J26" i="5"/>
  <c r="L99" i="5"/>
  <c r="J52" i="5"/>
  <c r="L77" i="5"/>
  <c r="J86" i="5"/>
  <c r="L93" i="5"/>
  <c r="L32" i="5"/>
  <c r="J18" i="5"/>
  <c r="L43" i="5"/>
  <c r="L41" i="5"/>
  <c r="L90" i="5"/>
  <c r="J87" i="5"/>
  <c r="J94" i="5"/>
  <c r="L55" i="5"/>
  <c r="J3" i="5"/>
  <c r="J95" i="5"/>
  <c r="L4" i="5"/>
  <c r="L100" i="5"/>
  <c r="L21" i="5"/>
  <c r="L54" i="5"/>
  <c r="J44" i="5"/>
  <c r="L16" i="5"/>
  <c r="L28" i="5"/>
  <c r="L66" i="5"/>
  <c r="L39" i="5"/>
  <c r="J55" i="5"/>
  <c r="J15" i="5"/>
  <c r="J14" i="5"/>
  <c r="J50" i="5"/>
  <c r="J12" i="5"/>
  <c r="J46" i="5"/>
  <c r="J75" i="5"/>
  <c r="J74" i="5"/>
  <c r="L86" i="5"/>
  <c r="L6" i="5"/>
  <c r="J9" i="5"/>
  <c r="L5" i="5"/>
  <c r="J53" i="5"/>
  <c r="J56" i="5"/>
  <c r="J78" i="5"/>
  <c r="J84" i="5"/>
  <c r="J13" i="5"/>
  <c r="J54" i="5"/>
  <c r="J22" i="5"/>
  <c r="L50" i="5"/>
  <c r="J24" i="5"/>
  <c r="J68" i="5"/>
  <c r="L89" i="5"/>
  <c r="J40" i="5"/>
  <c r="J65" i="5"/>
  <c r="L68" i="5"/>
  <c r="L47" i="5"/>
  <c r="J92" i="5"/>
  <c r="L13" i="5"/>
  <c r="L38" i="5"/>
  <c r="J35" i="5"/>
  <c r="J19" i="5"/>
  <c r="L82" i="5"/>
  <c r="J23" i="5"/>
  <c r="L80" i="5"/>
  <c r="L44" i="5"/>
  <c r="L53" i="5"/>
  <c r="J88" i="5"/>
  <c r="L76" i="5"/>
  <c r="J93" i="5"/>
  <c r="J61" i="5"/>
  <c r="J79" i="5"/>
  <c r="L19" i="5"/>
  <c r="J101" i="5"/>
  <c r="L65" i="5"/>
  <c r="J25" i="5"/>
  <c r="L17" i="5"/>
  <c r="L34" i="5"/>
  <c r="J16" i="5"/>
  <c r="J30" i="5"/>
  <c r="L57" i="5"/>
  <c r="L69" i="5"/>
  <c r="J62" i="5"/>
  <c r="J38" i="5"/>
  <c r="J90" i="5"/>
  <c r="J96" i="5"/>
  <c r="L23" i="5"/>
  <c r="L71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16" i="5"/>
  <c r="K29" i="5"/>
  <c r="K66" i="5"/>
  <c r="K64" i="5"/>
  <c r="K60" i="5"/>
  <c r="K39" i="5"/>
  <c r="K69" i="5"/>
  <c r="K17" i="5"/>
  <c r="K76" i="5"/>
  <c r="K81" i="5"/>
  <c r="K84" i="5"/>
  <c r="K9" i="5"/>
  <c r="K72" i="5"/>
  <c r="K49" i="5"/>
  <c r="K15" i="5"/>
  <c r="K55" i="5"/>
  <c r="K97" i="5"/>
  <c r="K91" i="5"/>
  <c r="K32" i="5"/>
  <c r="K56" i="5"/>
  <c r="K90" i="5"/>
  <c r="K25" i="5"/>
  <c r="K7" i="5"/>
  <c r="K68" i="5"/>
  <c r="K88" i="5"/>
  <c r="K20" i="5"/>
  <c r="K82" i="5"/>
  <c r="K38" i="5"/>
  <c r="K51" i="5"/>
  <c r="K46" i="5"/>
  <c r="K54" i="5"/>
  <c r="K75" i="5"/>
  <c r="K12" i="5"/>
  <c r="K47" i="5"/>
  <c r="K22" i="5"/>
  <c r="K53" i="5"/>
  <c r="K78" i="5"/>
  <c r="K4" i="5"/>
  <c r="K50" i="5"/>
  <c r="K52" i="5"/>
  <c r="K94" i="5"/>
  <c r="K6" i="5"/>
  <c r="K73" i="5"/>
  <c r="K86" i="5"/>
  <c r="K44" i="5"/>
  <c r="K2" i="5"/>
  <c r="K58" i="5"/>
  <c r="K93" i="5"/>
  <c r="K3" i="5"/>
  <c r="K13" i="5"/>
  <c r="K71" i="5"/>
  <c r="K31" i="5"/>
  <c r="K43" i="5"/>
  <c r="K30" i="5"/>
  <c r="K95" i="5"/>
  <c r="K70" i="5"/>
  <c r="K27" i="5"/>
  <c r="K37" i="5"/>
  <c r="K98" i="5"/>
  <c r="K23" i="5"/>
  <c r="K35" i="5"/>
  <c r="K10" i="5"/>
  <c r="K92" i="5"/>
  <c r="K34" i="5"/>
  <c r="K61" i="5"/>
  <c r="K18" i="5"/>
  <c r="K89" i="5"/>
  <c r="K40" i="5"/>
  <c r="K100" i="5"/>
  <c r="K21" i="5"/>
  <c r="K11" i="5"/>
  <c r="K26" i="5"/>
  <c r="K83" i="5"/>
  <c r="K63" i="5"/>
  <c r="K99" i="5"/>
  <c r="K41" i="5"/>
  <c r="K8" i="5"/>
  <c r="K42" i="5"/>
  <c r="K96" i="5"/>
  <c r="K74" i="5"/>
  <c r="K87" i="5"/>
  <c r="K79" i="5"/>
  <c r="K77" i="5"/>
  <c r="K14" i="5"/>
  <c r="K19" i="5"/>
  <c r="K57" i="5"/>
  <c r="K36" i="5"/>
  <c r="K24" i="5"/>
  <c r="K85" i="5"/>
  <c r="K101" i="5"/>
  <c r="K62" i="5"/>
  <c r="K5" i="5"/>
  <c r="K28" i="5"/>
  <c r="K48" i="5"/>
  <c r="K67" i="5"/>
  <c r="K80" i="5"/>
  <c r="K65" i="5"/>
  <c r="K59" i="5"/>
  <c r="K3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93" i="5"/>
  <c r="I60" i="5"/>
  <c r="I64" i="5"/>
  <c r="I42" i="5"/>
  <c r="I86" i="5"/>
  <c r="I43" i="5"/>
  <c r="I56" i="5"/>
  <c r="I33" i="5"/>
  <c r="I95" i="5"/>
  <c r="I41" i="5"/>
  <c r="I5" i="5"/>
  <c r="I63" i="5"/>
  <c r="I52" i="5"/>
  <c r="I70" i="5"/>
  <c r="I31" i="5"/>
  <c r="I50" i="5"/>
  <c r="I7" i="5"/>
  <c r="I36" i="5"/>
  <c r="I85" i="5"/>
  <c r="I80" i="5"/>
  <c r="I54" i="5"/>
  <c r="I11" i="5"/>
  <c r="I87" i="5"/>
  <c r="I49" i="5"/>
  <c r="I26" i="5"/>
  <c r="I24" i="5"/>
  <c r="I99" i="5"/>
  <c r="I79" i="5"/>
  <c r="I37" i="5"/>
  <c r="I66" i="5"/>
  <c r="I30" i="5"/>
  <c r="I82" i="5"/>
  <c r="I78" i="5"/>
  <c r="I2" i="5"/>
  <c r="I61" i="5"/>
  <c r="I53" i="5"/>
  <c r="I27" i="5"/>
  <c r="I84" i="5"/>
  <c r="I74" i="5"/>
  <c r="I100" i="5"/>
  <c r="I35" i="5"/>
  <c r="I51" i="5"/>
  <c r="I94" i="5"/>
  <c r="I38" i="5"/>
  <c r="I77" i="5"/>
  <c r="I12" i="5"/>
  <c r="I48" i="5"/>
  <c r="I65" i="5"/>
  <c r="I73" i="5"/>
  <c r="I23" i="5"/>
  <c r="I45" i="5"/>
  <c r="I32" i="5"/>
  <c r="I68" i="5"/>
  <c r="I3" i="5"/>
  <c r="I72" i="5"/>
  <c r="I97" i="5"/>
  <c r="I8" i="5"/>
  <c r="I29" i="5"/>
  <c r="I57" i="5"/>
  <c r="I71" i="5"/>
  <c r="I20" i="5"/>
  <c r="I83" i="5"/>
  <c r="I88" i="5"/>
  <c r="I90" i="5"/>
  <c r="I39" i="5"/>
  <c r="I14" i="5"/>
  <c r="I13" i="5"/>
  <c r="I18" i="5"/>
  <c r="I4" i="5"/>
  <c r="I44" i="5"/>
  <c r="I46" i="5"/>
  <c r="I98" i="5"/>
  <c r="I62" i="5"/>
  <c r="I28" i="5"/>
  <c r="I25" i="5"/>
  <c r="I21" i="5"/>
  <c r="I9" i="5"/>
  <c r="I6" i="5"/>
  <c r="I96" i="5"/>
  <c r="I58" i="5"/>
  <c r="I19" i="5"/>
  <c r="I40" i="5"/>
  <c r="I101" i="5"/>
  <c r="I34" i="5"/>
  <c r="I10" i="5"/>
  <c r="I91" i="5"/>
  <c r="I47" i="5"/>
  <c r="I59" i="5"/>
  <c r="I76" i="5"/>
  <c r="I15" i="5"/>
  <c r="I17" i="5"/>
  <c r="I75" i="5"/>
  <c r="I69" i="5"/>
  <c r="I89" i="5"/>
  <c r="I55" i="5"/>
  <c r="I22" i="5"/>
  <c r="I16" i="5"/>
  <c r="I92" i="5"/>
  <c r="I81" i="5"/>
  <c r="I67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92" i="5"/>
  <c r="F90" i="5"/>
  <c r="F36" i="5"/>
  <c r="F5" i="5"/>
  <c r="F21" i="5"/>
  <c r="F62" i="5"/>
  <c r="F83" i="5"/>
  <c r="F33" i="5"/>
  <c r="F63" i="5"/>
  <c r="F72" i="5"/>
  <c r="F4" i="5"/>
  <c r="F17" i="5"/>
  <c r="F48" i="5"/>
  <c r="F34" i="5"/>
  <c r="F7" i="5"/>
  <c r="F95" i="5"/>
  <c r="F61" i="5"/>
  <c r="F58" i="5"/>
  <c r="F3" i="5"/>
  <c r="F29" i="5"/>
  <c r="F55" i="5"/>
  <c r="F67" i="5"/>
  <c r="F68" i="5"/>
  <c r="F32" i="5"/>
  <c r="F65" i="5"/>
  <c r="F31" i="5"/>
  <c r="F89" i="5"/>
  <c r="F76" i="5"/>
  <c r="F99" i="5"/>
  <c r="F35" i="5"/>
  <c r="F93" i="5"/>
  <c r="F64" i="5"/>
  <c r="F20" i="5"/>
  <c r="F98" i="5"/>
  <c r="F42" i="5"/>
  <c r="F50" i="5"/>
  <c r="F10" i="5"/>
  <c r="F60" i="5"/>
  <c r="F88" i="5"/>
  <c r="F25" i="5"/>
  <c r="F59" i="5"/>
  <c r="F74" i="5"/>
  <c r="F45" i="5"/>
  <c r="F100" i="5"/>
  <c r="F26" i="5"/>
  <c r="F91" i="5"/>
  <c r="F97" i="5"/>
  <c r="F11" i="5"/>
  <c r="F84" i="5"/>
  <c r="F15" i="5"/>
  <c r="F86" i="5"/>
  <c r="F66" i="5"/>
  <c r="F24" i="5"/>
  <c r="F2" i="5"/>
  <c r="F44" i="5"/>
  <c r="F39" i="5"/>
  <c r="F75" i="5"/>
  <c r="F69" i="5"/>
  <c r="F79" i="5"/>
  <c r="F28" i="5"/>
  <c r="F16" i="5"/>
  <c r="F54" i="5"/>
  <c r="F87" i="5"/>
  <c r="F52" i="5"/>
  <c r="F85" i="5"/>
  <c r="F9" i="5"/>
  <c r="F80" i="5"/>
  <c r="F41" i="5"/>
  <c r="F49" i="5"/>
  <c r="F43" i="5"/>
  <c r="F96" i="5"/>
  <c r="F71" i="5"/>
  <c r="F46" i="5"/>
  <c r="F37" i="5"/>
  <c r="F78" i="5"/>
  <c r="F51" i="5"/>
  <c r="F30" i="5"/>
  <c r="F94" i="5"/>
  <c r="F6" i="5"/>
  <c r="F23" i="5"/>
  <c r="F56" i="5"/>
  <c r="F14" i="5"/>
  <c r="F81" i="5"/>
  <c r="F77" i="5"/>
  <c r="F18" i="5"/>
  <c r="F73" i="5"/>
  <c r="F19" i="5"/>
  <c r="F40" i="5"/>
  <c r="F22" i="5"/>
  <c r="F70" i="5"/>
  <c r="F8" i="5"/>
  <c r="F101" i="5"/>
  <c r="F53" i="5"/>
  <c r="F27" i="5"/>
  <c r="F38" i="5"/>
  <c r="F13" i="5"/>
  <c r="F12" i="5"/>
  <c r="F47" i="5"/>
  <c r="F82" i="5"/>
  <c r="F57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88" i="5"/>
  <c r="H59" i="5"/>
  <c r="H16" i="5"/>
  <c r="H7" i="5"/>
  <c r="H61" i="5"/>
  <c r="H66" i="5"/>
  <c r="H48" i="5"/>
  <c r="H90" i="5"/>
  <c r="H34" i="5"/>
  <c r="H95" i="5"/>
  <c r="H41" i="5"/>
  <c r="H42" i="5"/>
  <c r="H54" i="5"/>
  <c r="H101" i="5"/>
  <c r="H6" i="5"/>
  <c r="H46" i="5"/>
  <c r="H85" i="5"/>
  <c r="H52" i="5"/>
  <c r="H63" i="5"/>
  <c r="H72" i="5"/>
  <c r="H64" i="5"/>
  <c r="H89" i="5"/>
  <c r="H98" i="5"/>
  <c r="H84" i="5"/>
  <c r="H65" i="5"/>
  <c r="H68" i="5"/>
  <c r="H97" i="5"/>
  <c r="H80" i="5"/>
  <c r="H44" i="5"/>
  <c r="H40" i="5"/>
  <c r="H86" i="5"/>
  <c r="H28" i="5"/>
  <c r="H12" i="5"/>
  <c r="H22" i="5"/>
  <c r="H9" i="5"/>
  <c r="H30" i="5"/>
  <c r="H15" i="5"/>
  <c r="H27" i="5"/>
  <c r="H49" i="5"/>
  <c r="H87" i="5"/>
  <c r="H24" i="5"/>
  <c r="H36" i="5"/>
  <c r="H47" i="5"/>
  <c r="H76" i="5"/>
  <c r="H60" i="5"/>
  <c r="H100" i="5"/>
  <c r="H81" i="5"/>
  <c r="H96" i="5"/>
  <c r="H17" i="5"/>
  <c r="H82" i="5"/>
  <c r="H21" i="5"/>
  <c r="H57" i="5"/>
  <c r="H10" i="5"/>
  <c r="H91" i="5"/>
  <c r="H83" i="5"/>
  <c r="H93" i="5"/>
  <c r="H25" i="5"/>
  <c r="H94" i="5"/>
  <c r="H3" i="5"/>
  <c r="H79" i="5"/>
  <c r="H31" i="5"/>
  <c r="H37" i="5"/>
  <c r="H67" i="5"/>
  <c r="H58" i="5"/>
  <c r="H77" i="5"/>
  <c r="H78" i="5"/>
  <c r="H19" i="5"/>
  <c r="H70" i="5"/>
  <c r="H39" i="5"/>
  <c r="H18" i="5"/>
  <c r="H69" i="5"/>
  <c r="H99" i="5"/>
  <c r="H33" i="5"/>
  <c r="H43" i="5"/>
  <c r="H11" i="5"/>
  <c r="H23" i="5"/>
  <c r="H73" i="5"/>
  <c r="H8" i="5"/>
  <c r="H53" i="5"/>
  <c r="H92" i="5"/>
  <c r="H55" i="5"/>
  <c r="H56" i="5"/>
  <c r="H4" i="5"/>
  <c r="H26" i="5"/>
  <c r="H5" i="5"/>
  <c r="H29" i="5"/>
  <c r="H35" i="5"/>
  <c r="H20" i="5"/>
  <c r="H32" i="5"/>
  <c r="H51" i="5"/>
  <c r="H45" i="5"/>
  <c r="H2" i="5"/>
  <c r="H13" i="5"/>
  <c r="H74" i="5"/>
  <c r="H38" i="5"/>
  <c r="H50" i="5"/>
  <c r="H14" i="5"/>
  <c r="H62" i="5"/>
  <c r="H71" i="5"/>
  <c r="H7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<sst xmlns="http://schemas.openxmlformats.org/spreadsheetml/2006/main" count="314" uniqueCount="248">
  <si>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</si>
  <si>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</si>
  <si>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</si>
  <si>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</si>
  <si>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</si>
  <si>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</si>
  <si>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</si>
  <si>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</si>
  <si>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</si>
  <si>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</si>
  <si>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</si>
  <si>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</si>
  <si>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</si>
  <si>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</si>
  <si>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</si>
  <si>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</si>
  <si>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</si>
  <si>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</si>
  <si>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</si>
  <si>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</si>
  <si>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</si>
  <si>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</si>
  <si>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</si>
  <si>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</si>
  <si>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</si>
  <si>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</si>
  <si>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</si>
  <si>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</si>
  <si>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</si>
  <si>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</si>
  <si>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</si>
  <si>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</si>
  <si>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</si>
  <si>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</si>
  <si>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</si>
  <si>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</si>
  <si>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</si>
  <si>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</si>
  <si>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</si>
  <si>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</si>
  <si>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</si>
  <si>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</si>
  <si>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</si>
  <si>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</si>
  <si>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</si>
  <si>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</si>
  <si>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</si>
  <si>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</si>
  <si>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</si>
  <si>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</si>
  <si>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</si>
  <si>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</si>
  <si>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</si>
  <si>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</si>
  <si>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</si>
  <si>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</si>
  <si>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</si>
  <si>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</si>
  <si>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</si>
  <si>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</si>
  <si>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</si>
  <si>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</si>
  <si>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</si>
  <si>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</si>
  <si>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</si>
  <si>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</si>
  <si>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</si>
  <si>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</si>
  <si>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</si>
  <si>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</si>
  <si>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</si>
  <si>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</si>
  <si>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</si>
  <si>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</si>
  <si>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</si>
  <si>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</si>
  <si>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</si>
  <si>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</si>
  <si>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</si>
  <si>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</si>
  <si>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</si>
  <si>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</si>
  <si>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</si>
  <si>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</si>
  <si>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</si>
  <si>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</si>
  <si>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</si>
  <si>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</si>
  <si>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</si>
  <si>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</si>
  <si>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</si>
  <si>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</si>
  <si>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</si>
  <si>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</si>
  <si>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</si>
  <si>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</si>
  <si>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</si>
  <si>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</si>
  <si>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</si>
  <si>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</si>
  <si>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</si>
  <si>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</si>
  <si>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</si>
  <si>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</si>
  <si>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</si>
  <si>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</si>
  <si>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</si>
  <si>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</si>
  <si>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</si>
  <si>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</si>
  <si>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</si>
  <si>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</si>
  <si>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</si>
  <si>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</si>
  <si>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</si>
  <si>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</si>
  <si>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</si>
  <si>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</si>
  <si>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</si>
  <si>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</si>
  <si>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</si>
  <si>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</si>
  <si>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</si>
  <si>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</si>
  <si>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</si>
  <si>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</si>
  <si>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</si>
  <si>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</si>
  <si>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</si>
  <si>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</si>
  <si>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</si>
  <si>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</si>
  <si>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</si>
  <si>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</si>
  <si>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</si>
  <si>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</si>
  <si>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</si>
  <si>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</si>
  <si>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</si>
  <si>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</si>
  <si>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</si>
  <si>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</si>
  <si>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</si>
  <si>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</si>
  <si>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</si>
  <si>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</si>
  <si>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</si>
  <si>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</si>
  <si>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</si>
  <si>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</si>
  <si>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</si>
  <si>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</si>
  <si>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</si>
  <si>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</si>
  <si>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</si>
  <si>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</si>
  <si>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</si>
  <si>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</si>
  <si>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</si>
  <si>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</si>
  <si>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</si>
  <si>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</si>
  <si>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</si>
  <si>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</si>
  <si>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</si>
  <si>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</si>
  <si>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</si>
  <si>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</si>
  <si>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</si>
  <si>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</si>
  <si>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</si>
  <si>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</si>
  <si>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</si>
  <si>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</si>
  <si>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</si>
  <si>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</si>
  <si>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</si>
  <si>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</si>
  <si>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</si>
  <si>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</si>
  <si>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</si>
  <si>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</si>
  <si>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</si>
  <si>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</si>
  <si>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</si>
  <si>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</si>
  <si>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</si>
  <si>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</si>
  <si>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</si>
  <si>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</si>
  <si>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</si>
  <si>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</si>
  <si>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</si>
  <si>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</si>
  <si>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</si>
  <si>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</si>
  <si>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</si>
  <si>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</si>
  <si>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</si>
  <si>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</si>
  <si>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</si>
  <si>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</si>
  <si>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</si>
  <si>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</si>
  <si>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</si>
  <si>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</si>
  <si>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</si>
  <si>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</si>
  <si>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</si>
  <si>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</si>
  <si>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</si>
  <si>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</si>
  <si>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</si>
  <si>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</si>
  <si>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</si>
  <si>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</si>
  <si>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</si>
  <si>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</si>
  <si>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Bryan Ortiz</t>
  </si>
  <si>
    <t>Camila Paredes</t>
  </si>
  <si>
    <t>Cristian Pincha-Camila Paredes</t>
  </si>
  <si>
    <t>REQ003 Disponibilidad de mesas</t>
  </si>
  <si>
    <t>REQ003-2Seleccionar el numero de el o las mesas a ocupar</t>
  </si>
  <si>
    <t>REQ003-3Confirmar la selección de el o las mesas a ocupar</t>
  </si>
  <si>
    <t>REQ003-4Consultar la disponibilidad de mesas disponibles</t>
  </si>
  <si>
    <t>REQ004 Tomas de pedido.</t>
  </si>
  <si>
    <t>REQ004-1 Crear una interfaz donde se muestre el catalogo</t>
  </si>
  <si>
    <t>REQ004-2 Seleccionar el numero de el o los productos a consumir por el cliente</t>
  </si>
  <si>
    <t>REQ004-3Confirmar la selección de el o los productos a consumir por el cliente</t>
  </si>
  <si>
    <t>REQ005 Comprobante de pago</t>
  </si>
  <si>
    <t>REQ005-1 Crear una interfaz donde se muestre el comprobante de pago</t>
  </si>
  <si>
    <t>REQ005-2 Crear un boton para poder imprimir el comprobante</t>
  </si>
  <si>
    <t>REQ005-3 Confirmar el PDF generado</t>
  </si>
  <si>
    <t xml:space="preserve">REQ003-1Crear interfaz donde se muestre le numero de las mesas </t>
  </si>
  <si>
    <t>Se puede consultar el estado de las mesas mediante la interfaz visual.</t>
  </si>
  <si>
    <t>Visualizar el numero de mesas.                                         .</t>
  </si>
  <si>
    <t>Marcar las mesas ocupadas</t>
  </si>
  <si>
    <t>Dejar las mesas como ocupadas</t>
  </si>
  <si>
    <t>Verificar el estado de cada mesa</t>
  </si>
  <si>
    <t>Tomar orden del pedido del cliente mediante, el catagolo.</t>
  </si>
  <si>
    <t>Catologo visual para el cliente</t>
  </si>
  <si>
    <t>Selección de productos, para generar el pedido</t>
  </si>
  <si>
    <t xml:space="preserve">Generar el pedido </t>
  </si>
  <si>
    <t>Generacion del comprobante de pago</t>
  </si>
  <si>
    <t>Se visualiza el detalle del pedido</t>
  </si>
  <si>
    <t>Imprimir el comprobante generado</t>
  </si>
  <si>
    <t>Confmirmar la generacion de comprobante</t>
  </si>
  <si>
    <t>Cristian Pincha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</si>
</sst>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1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 xr:uid="{29B85A08-0436-405C-94E6-CB83F8693D84}"/>
  </cellStyles>
  <dxfs count="43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2BC04336-1C06-48B1-9915-49B6D9393DAD}">
      <tableStyleElement type="headerRow" dxfId="42"/>
      <tableStyleElement type="firstRowStripe" dxfId="41"/>
      <tableStyleElement type="secondRowStripe" dxfId="40"/>
    </tableStyle>
  </tableStyles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113" activePane="bottomLeft" state="frozen"/>
      <selection pane="bottomLeft" activeCell="S98" sqref="S98:T98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5" t="str">
        <f>Configura!$B$2</f>
        <v xml:space="preserve">                Tablero KANBAN v3 ©️            </v>
      </c>
      <c r="C2" s="115"/>
      <c r="D2" s="115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(0 de 14)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(0 de 14)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(0 de 14)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(14 de 14)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(0 de 14)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14)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14)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14)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14)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14)</v>
      </c>
      <c r="AW4" s="114"/>
      <c r="AX4" s="114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2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2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2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2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2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2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2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2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2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2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2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2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2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2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2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2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2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2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2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2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2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2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2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2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2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2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2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2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2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2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2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2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2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2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2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2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2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2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2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2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2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2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2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2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13: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REQ005-3 Confirmar el PDF generado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2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2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2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Confmirmar la generacion de comprobante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2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2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2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2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2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2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45102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2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2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2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2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2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2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45102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2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2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2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2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2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2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45102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2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2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2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2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2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2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Bryan Ortiz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2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2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12: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REQ005-2 Crear un boton para poder imprimir el comprobante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2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2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Imprimir el comprobante generado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2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2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2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2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45102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2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2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2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2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45102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2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2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2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2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45102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2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2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2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2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Bryan Ortiz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2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11: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REQ005-1 Crear una interfaz donde se muestre el comprobante de pago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2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 visualiza el detalle del pedido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2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2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45102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2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2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45102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2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2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45102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2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2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Bryan Ortiz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2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10: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REQ005 Comprobante de pago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2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Generacion del comprobante de pago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2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2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45102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2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2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45102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2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2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45102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2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2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Bryan Ortiz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9: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REQ004-3Confirmar la selección de el o los productos a consumir por el cliente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Generar el pedido 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45101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45101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45101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8: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REQ004-2 Seleccionar el numero de el o los productos a consumir por el cliente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Selección de productos, para generar el pedido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45101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45101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45101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Cristian Pincha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7: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REQ004-1 Crear una interfaz donde se muestre el catalogo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Catologo visual para el cliente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45100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45100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45100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Cristian Pincha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6: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REQ004 Tomas de pedido.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Tomar orden del pedido del cliente mediante, el catagolo.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45100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45100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45100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Cristian Pincha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5: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REQ003-4Consultar la disponibilidad de mesas disponibles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Verificar el estado de cada mesa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45099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45099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45099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Cristian Pincha-Camila Paredes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4: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REQ003-3Confirmar la selección de el o las mesas a ocupar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Dejar las mesas como ocupadas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45099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45099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45099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Cristian Pincha-Camila Paredes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REQ003-2Seleccionar el numero de el o las mesas a ocupar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Marcar las mesas ocupadas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45099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45099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45099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Cristian Pincha-Camila Paredes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2:</v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REQ003-1Crear interfaz donde se muestre le numero de las mesas </v>
      </c>
      <c r="T114" s="112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Visualizar el numero de mesas.                                         .</v>
      </c>
      <c r="T115" s="112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2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45099</v>
      </c>
      <c r="T116" s="112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2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45099</v>
      </c>
      <c r="T117" s="112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2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45099</v>
      </c>
      <c r="T118" s="112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2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2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Cristian Pincha-Camila Paredes</v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1:</v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REQ003 Disponibilidad de mesas</v>
      </c>
      <c r="T123" s="112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Se puede consultar el estado de las mesas mediante la interfaz visual.</v>
      </c>
      <c r="T124" s="112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2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45099</v>
      </c>
      <c r="T125" s="112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2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45099</v>
      </c>
      <c r="T126" s="112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2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45099</v>
      </c>
      <c r="T127" s="112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12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2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Pincha-Camila Paredes</v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2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2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2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2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2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2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2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2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2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2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2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2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2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2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2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2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2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2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2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2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2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2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2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2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2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2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2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2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2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2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2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2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2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2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2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2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2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2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2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2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2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2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2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2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2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2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2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2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2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2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2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2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2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2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2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2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2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2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2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2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2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39" priority="1" stopIfTrue="1">
      <formula>AND(B6=miCabeceraRetraso&amp;":",IFERROR(--LEFT(C6,FIND(" ",C6)-1),0)&gt;0)</formula>
    </cfRule>
    <cfRule type="expression" dxfId="38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7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B14" sqref="B14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6</v>
      </c>
      <c r="C2" s="103" t="s">
        <v>221</v>
      </c>
      <c r="D2" s="101" t="s">
        <v>234</v>
      </c>
      <c r="E2" s="102">
        <v>45099</v>
      </c>
      <c r="F2" s="93">
        <v>45099</v>
      </c>
      <c r="G2" s="93">
        <v>45099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220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6</v>
      </c>
      <c r="C3" s="3" t="s">
        <v>233</v>
      </c>
      <c r="D3" s="103" t="s">
        <v>235</v>
      </c>
      <c r="E3" s="104">
        <v>45099</v>
      </c>
      <c r="F3" s="96">
        <v>45099</v>
      </c>
      <c r="G3" s="96">
        <v>45099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220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6</v>
      </c>
      <c r="C4" s="92" t="s">
        <v>222</v>
      </c>
      <c r="D4" s="92" t="s">
        <v>236</v>
      </c>
      <c r="E4" s="104">
        <v>45099</v>
      </c>
      <c r="F4" s="104">
        <v>45099</v>
      </c>
      <c r="G4" s="104">
        <v>45099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220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6</v>
      </c>
      <c r="C5" s="3" t="s">
        <v>223</v>
      </c>
      <c r="D5" s="95" t="s">
        <v>237</v>
      </c>
      <c r="E5" s="104">
        <v>45099</v>
      </c>
      <c r="F5" s="104">
        <v>45099</v>
      </c>
      <c r="G5" s="104">
        <v>45099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91" t="s">
        <v>5</v>
      </c>
      <c r="B6" s="92" t="s">
        <v>6</v>
      </c>
      <c r="C6" s="106" t="s">
        <v>224</v>
      </c>
      <c r="D6" s="101" t="s">
        <v>238</v>
      </c>
      <c r="E6" s="104">
        <v>45099</v>
      </c>
      <c r="F6" s="104">
        <v>45099</v>
      </c>
      <c r="G6" s="104">
        <v>45099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5" t="s">
        <v>225</v>
      </c>
      <c r="D7" s="95" t="s">
        <v>239</v>
      </c>
      <c r="E7" s="96">
        <v>45100</v>
      </c>
      <c r="F7" s="96">
        <v>45100</v>
      </c>
      <c r="G7" s="96">
        <v>45100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247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5</v>
      </c>
      <c r="B8" s="92" t="s">
        <v>6</v>
      </c>
      <c r="C8" s="108" t="s">
        <v>226</v>
      </c>
      <c r="D8" s="101" t="s">
        <v>240</v>
      </c>
      <c r="E8" s="96">
        <v>45100</v>
      </c>
      <c r="F8" s="96">
        <v>45100</v>
      </c>
      <c r="G8" s="96">
        <v>45100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247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6</v>
      </c>
      <c r="C9" s="108" t="s">
        <v>227</v>
      </c>
      <c r="D9" s="95" t="s">
        <v>241</v>
      </c>
      <c r="E9" s="96">
        <v>45101</v>
      </c>
      <c r="F9" s="96">
        <v>45101</v>
      </c>
      <c r="G9" s="96">
        <v>45101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247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 t="s">
        <v>6</v>
      </c>
      <c r="C10" s="108" t="s">
        <v>228</v>
      </c>
      <c r="D10" s="92" t="s">
        <v>242</v>
      </c>
      <c r="E10" s="96">
        <v>45101</v>
      </c>
      <c r="F10" s="96">
        <v>45101</v>
      </c>
      <c r="G10" s="96">
        <v>45101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247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6</v>
      </c>
      <c r="C11" s="108" t="s">
        <v>229</v>
      </c>
      <c r="D11" s="95" t="s">
        <v>243</v>
      </c>
      <c r="E11" s="97">
        <v>45102</v>
      </c>
      <c r="F11" s="97">
        <v>45102</v>
      </c>
      <c r="G11" s="97">
        <v>45102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5</v>
      </c>
      <c r="B12" s="92" t="s">
        <v>6</v>
      </c>
      <c r="C12" s="106" t="s">
        <v>230</v>
      </c>
      <c r="D12" s="101" t="s">
        <v>244</v>
      </c>
      <c r="E12" s="97">
        <v>45102</v>
      </c>
      <c r="F12" s="97">
        <v>45102</v>
      </c>
      <c r="G12" s="97">
        <v>45102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6</v>
      </c>
      <c r="C13" s="106" t="s">
        <v>231</v>
      </c>
      <c r="D13" s="103" t="s">
        <v>245</v>
      </c>
      <c r="E13" s="97">
        <v>45102</v>
      </c>
      <c r="F13" s="97">
        <v>45102</v>
      </c>
      <c r="G13" s="97">
        <v>45102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30" x14ac:dyDescent="0.25">
      <c r="A14" s="91" t="s">
        <v>5</v>
      </c>
      <c r="B14" s="92" t="s">
        <v>6</v>
      </c>
      <c r="C14" s="106" t="s">
        <v>232</v>
      </c>
      <c r="D14" s="101" t="s">
        <v>246</v>
      </c>
      <c r="E14" s="97">
        <v>45102</v>
      </c>
      <c r="F14" s="97">
        <v>45102</v>
      </c>
      <c r="G14" s="97">
        <v>45102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/>
      <c r="B15" s="95"/>
      <c r="C15" s="105"/>
      <c r="D15" s="95"/>
      <c r="E15" s="110"/>
      <c r="F15" s="96"/>
      <c r="G15" s="110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75" x14ac:dyDescent="0.25">
      <c r="A16" s="91"/>
      <c r="B16" s="92"/>
      <c r="C16" s="111"/>
      <c r="D16" s="101"/>
      <c r="E16" s="109"/>
      <c r="F16" s="109"/>
      <c r="G16" s="109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5"/>
      <c r="D17" s="103"/>
      <c r="E17" s="110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8"/>
      <c r="D18" s="92"/>
      <c r="E18" s="109"/>
      <c r="F18" s="109"/>
      <c r="G18" s="109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5"/>
      <c r="D19" s="95"/>
      <c r="E19" s="110"/>
      <c r="F19" s="110"/>
      <c r="G19" s="110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8"/>
      <c r="D20" s="92"/>
      <c r="E20" s="109"/>
      <c r="F20" s="109"/>
      <c r="G20" s="109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7"/>
      <c r="D21" s="103"/>
      <c r="E21" s="110"/>
      <c r="F21" s="110"/>
      <c r="G21" s="110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8"/>
      <c r="D22" s="92"/>
      <c r="E22" s="109"/>
      <c r="F22" s="109"/>
      <c r="G22" s="109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5"/>
      <c r="D23" s="95"/>
      <c r="E23" s="110"/>
      <c r="F23" s="110"/>
      <c r="G23" s="110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8"/>
      <c r="D24" s="92"/>
      <c r="E24" s="109"/>
      <c r="F24" s="109"/>
      <c r="G24" s="109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5"/>
      <c r="D25" s="95"/>
      <c r="E25" s="110"/>
      <c r="F25" s="110"/>
      <c r="G25" s="110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8"/>
      <c r="D26" s="92"/>
      <c r="E26" s="109"/>
      <c r="F26" s="109"/>
      <c r="G26" s="109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5"/>
      <c r="D27" s="95"/>
      <c r="E27" s="110"/>
      <c r="F27" s="110"/>
      <c r="G27" s="110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8"/>
      <c r="D28" s="92"/>
      <c r="E28" s="109"/>
      <c r="F28" s="109"/>
      <c r="G28" s="109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5"/>
      <c r="D29" s="95"/>
      <c r="E29" s="110"/>
      <c r="F29" s="110"/>
      <c r="G29" s="110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8"/>
      <c r="D30" s="92"/>
      <c r="E30" s="109"/>
      <c r="F30" s="109"/>
      <c r="G30" s="109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5"/>
      <c r="D31" s="95"/>
      <c r="E31" s="110"/>
      <c r="F31" s="110"/>
      <c r="G31" s="110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8"/>
      <c r="D32" s="92"/>
      <c r="E32" s="109"/>
      <c r="F32" s="109"/>
      <c r="G32" s="109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5"/>
      <c r="D33" s="95"/>
      <c r="E33" s="110"/>
      <c r="F33" s="110"/>
      <c r="G33" s="110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8"/>
      <c r="D34" s="92"/>
      <c r="E34" s="109"/>
      <c r="F34" s="109"/>
      <c r="G34" s="109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5"/>
      <c r="D35" s="95"/>
      <c r="E35" s="110"/>
      <c r="F35" s="110"/>
      <c r="G35" s="110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8"/>
      <c r="D36" s="92"/>
      <c r="E36" s="109"/>
      <c r="F36" s="109"/>
      <c r="G36" s="109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5"/>
      <c r="D37" s="95"/>
      <c r="E37" s="110"/>
      <c r="F37" s="110"/>
      <c r="G37" s="110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8"/>
      <c r="D38" s="92"/>
      <c r="E38" s="109"/>
      <c r="F38" s="109"/>
      <c r="G38" s="109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5"/>
      <c r="D39" s="95"/>
      <c r="E39" s="110"/>
      <c r="F39" s="110"/>
      <c r="G39" s="110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8"/>
      <c r="D40" s="92"/>
      <c r="E40" s="109"/>
      <c r="F40" s="109"/>
      <c r="G40" s="109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5"/>
      <c r="D41" s="95"/>
      <c r="E41" s="110"/>
      <c r="F41" s="110"/>
      <c r="G41" s="110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8"/>
      <c r="D42" s="92"/>
      <c r="E42" s="109"/>
      <c r="F42" s="109"/>
      <c r="G42" s="109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7:E101">
    <cfRule type="expression" dxfId="30" priority="18" stopIfTrue="1">
      <formula>AND($A7&lt;&gt;"",$E7="")</formula>
    </cfRule>
  </conditionalFormatting>
  <conditionalFormatting sqref="I2:I101">
    <cfRule type="expression" dxfId="29" priority="17" stopIfTrue="1">
      <formula>IFERROR(--LEFT(I2,FIND(" ",I2)-1),0)&gt;0</formula>
    </cfRule>
  </conditionalFormatting>
  <conditionalFormatting sqref="F7">
    <cfRule type="expression" dxfId="28" priority="16" stopIfTrue="1">
      <formula>AND($A7&lt;&gt;"",$E7="")</formula>
    </cfRule>
  </conditionalFormatting>
  <conditionalFormatting sqref="G7">
    <cfRule type="expression" dxfId="27" priority="15" stopIfTrue="1">
      <formula>AND($A7&lt;&gt;"",$E7="")</formula>
    </cfRule>
  </conditionalFormatting>
  <conditionalFormatting sqref="F8">
    <cfRule type="expression" dxfId="26" priority="14" stopIfTrue="1">
      <formula>AND($A8&lt;&gt;"",$E8="")</formula>
    </cfRule>
  </conditionalFormatting>
  <conditionalFormatting sqref="G8">
    <cfRule type="expression" dxfId="25" priority="13" stopIfTrue="1">
      <formula>AND($A8&lt;&gt;"",$E8="")</formula>
    </cfRule>
  </conditionalFormatting>
  <conditionalFormatting sqref="F9">
    <cfRule type="expression" dxfId="24" priority="12" stopIfTrue="1">
      <formula>AND($A9&lt;&gt;"",$E9="")</formula>
    </cfRule>
  </conditionalFormatting>
  <conditionalFormatting sqref="G9">
    <cfRule type="expression" dxfId="23" priority="11" stopIfTrue="1">
      <formula>AND($A9&lt;&gt;"",$E9="")</formula>
    </cfRule>
  </conditionalFormatting>
  <conditionalFormatting sqref="F10">
    <cfRule type="expression" dxfId="22" priority="10" stopIfTrue="1">
      <formula>AND($A10&lt;&gt;"",$E10="")</formula>
    </cfRule>
  </conditionalFormatting>
  <conditionalFormatting sqref="G10">
    <cfRule type="expression" dxfId="21" priority="9" stopIfTrue="1">
      <formula>AND($A10&lt;&gt;"",$E10="")</formula>
    </cfRule>
  </conditionalFormatting>
  <conditionalFormatting sqref="F11">
    <cfRule type="expression" dxfId="20" priority="8" stopIfTrue="1">
      <formula>AND($A11&lt;&gt;"",$E11="")</formula>
    </cfRule>
  </conditionalFormatting>
  <conditionalFormatting sqref="G11">
    <cfRule type="expression" dxfId="19" priority="7" stopIfTrue="1">
      <formula>AND($A11&lt;&gt;"",$E11="")</formula>
    </cfRule>
  </conditionalFormatting>
  <conditionalFormatting sqref="G12">
    <cfRule type="expression" dxfId="18" priority="6" stopIfTrue="1">
      <formula>AND($A12&lt;&gt;"",$E12="")</formula>
    </cfRule>
  </conditionalFormatting>
  <conditionalFormatting sqref="F12">
    <cfRule type="expression" dxfId="17" priority="5" stopIfTrue="1">
      <formula>AND($A12&lt;&gt;"",$E12="")</formula>
    </cfRule>
  </conditionalFormatting>
  <conditionalFormatting sqref="F13">
    <cfRule type="expression" dxfId="16" priority="4" stopIfTrue="1">
      <formula>AND($A13&lt;&gt;"",$E13="")</formula>
    </cfRule>
  </conditionalFormatting>
  <conditionalFormatting sqref="G13">
    <cfRule type="expression" dxfId="15" priority="3" stopIfTrue="1">
      <formula>AND($A13&lt;&gt;"",$E13="")</formula>
    </cfRule>
  </conditionalFormatting>
  <conditionalFormatting sqref="F14">
    <cfRule type="expression" dxfId="14" priority="2" stopIfTrue="1">
      <formula>AND($A14&lt;&gt;"",$E14="")</formula>
    </cfRule>
  </conditionalFormatting>
  <conditionalFormatting sqref="G14">
    <cfRule type="expression" dxfId="13" priority="1" stopIfTrue="1">
      <formula>AND($A14&lt;&gt;"",$E14="")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0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1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2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workbookViewId="0">
      <selection activeCell="D16" sqref="D16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5" t="str">
        <f>"                " &amp; Idiomas!$A$2 &amp; " v3 ©️            "</f>
        <v xml:space="preserve">                Tablero KANBAN v3 ©️            </v>
      </c>
      <c r="C2" s="115"/>
      <c r="E2" s="7" t="s">
        <v>12</v>
      </c>
      <c r="F2" s="119" t="str">
        <f>Idiomas!$A$2 &amp; " | #ExcelPedroWave"</f>
        <v>Tablero KANBAN | #ExcelPedroWave</v>
      </c>
      <c r="G2" s="119"/>
      <c r="H2" s="119"/>
    </row>
    <row r="3" spans="2:9" ht="15" customHeight="1" x14ac:dyDescent="0.25">
      <c r="E3" s="8" t="s">
        <v>13</v>
      </c>
      <c r="F3" s="119" t="s">
        <v>14</v>
      </c>
      <c r="G3" s="119"/>
      <c r="H3" s="119"/>
    </row>
    <row r="4" spans="2:9" x14ac:dyDescent="0.25">
      <c r="B4" s="89" t="str">
        <f>Idiomas!$A$3</f>
        <v>Idioma</v>
      </c>
      <c r="E4" s="8" t="s">
        <v>15</v>
      </c>
      <c r="F4" s="120" t="s">
        <v>16</v>
      </c>
      <c r="G4" s="120"/>
      <c r="H4" s="120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247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/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6" t="s">
        <v>21</v>
      </c>
      <c r="C23" s="117"/>
      <c r="D23" s="118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R-123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R-123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R123:R130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R-114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R-114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R114:R121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R-105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R-105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R105:R112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R-96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R-96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R96:R103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R-87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R-87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R87:R94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R-78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R-78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R78:R85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R69:R76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R60:R67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R-51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R-51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R51:R58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R-42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R-42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R42:R49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R-33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R-33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R33:R40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R-24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R-24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R24:R31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R15:R22</v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15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15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15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15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15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15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15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15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15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15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15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15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15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15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15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15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15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15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15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15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15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15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15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15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15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15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15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15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15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15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15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15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15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15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15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15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15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15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15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15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15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15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15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15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15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15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15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15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15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15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15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15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15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15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15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15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15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15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15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15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15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G303</cp:lastModifiedBy>
  <cp:revision>0</cp:revision>
  <dcterms:created xsi:type="dcterms:W3CDTF">2022-12-26T11:27:14Z</dcterms:created>
  <dcterms:modified xsi:type="dcterms:W3CDTF">2026-01-23T17:05:18Z</dcterms:modified>
  <cp:category/>
  <cp:contentStatus/>
</cp:coreProperties>
</file>