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"/>
    </mc:Choice>
  </mc:AlternateContent>
  <xr:revisionPtr revIDLastSave="175" documentId="8_{D52CBE0F-EB8F-48DE-ABDE-B978E14016A9}" xr6:coauthVersionLast="47" xr6:coauthVersionMax="47" xr10:uidLastSave="{06017CC8-B7FA-4B02-BB87-9AE1D1DC7E66}"/>
  <bookViews>
    <workbookView xWindow="-20610" yWindow="-120" windowWidth="20730" windowHeight="11040" activeTab="6" xr2:uid="{00000000-000D-0000-FFFF-FFFF00000000}"/>
  </bookViews>
  <sheets>
    <sheet name="sprint0" sheetId="2" r:id="rId1"/>
    <sheet name="Backlog" sheetId="1" r:id="rId2"/>
    <sheet name="sprint1" sheetId="4" r:id="rId3"/>
    <sheet name="sprint2" sheetId="5" r:id="rId4"/>
    <sheet name="sprint3" sheetId="6" r:id="rId5"/>
    <sheet name="sprint4" sheetId="7" r:id="rId6"/>
    <sheet name="burdonchart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umbVZyOcx52yre52oR6StKY4AhwVaEfQZSgxcWGFbfY="/>
    </ext>
  </extLst>
</workbook>
</file>

<file path=xl/calcChain.xml><?xml version="1.0" encoding="utf-8"?>
<calcChain xmlns="http://schemas.openxmlformats.org/spreadsheetml/2006/main">
  <c r="C94" i="3" l="1"/>
  <c r="D94" i="3" s="1"/>
  <c r="E94" i="3" s="1"/>
  <c r="F94" i="3" s="1"/>
  <c r="G94" i="3" s="1"/>
  <c r="H94" i="3" s="1"/>
  <c r="C93" i="3"/>
  <c r="D93" i="3" s="1"/>
  <c r="E93" i="3" s="1"/>
  <c r="F93" i="3" s="1"/>
  <c r="G93" i="3" s="1"/>
  <c r="H93" i="3" s="1"/>
  <c r="I91" i="3"/>
  <c r="I90" i="3"/>
  <c r="C66" i="3"/>
  <c r="D66" i="3" s="1"/>
  <c r="E66" i="3" s="1"/>
  <c r="F66" i="3" s="1"/>
  <c r="G66" i="3" s="1"/>
  <c r="H66" i="3" s="1"/>
  <c r="C65" i="3"/>
  <c r="D65" i="3" s="1"/>
  <c r="E65" i="3" s="1"/>
  <c r="F65" i="3" s="1"/>
  <c r="G65" i="3" s="1"/>
  <c r="H65" i="3" s="1"/>
  <c r="C39" i="3"/>
  <c r="D39" i="3" s="1"/>
  <c r="E39" i="3" s="1"/>
  <c r="F39" i="3" s="1"/>
  <c r="G39" i="3" s="1"/>
  <c r="H39" i="3" s="1"/>
  <c r="I34" i="3"/>
  <c r="I35" i="3"/>
  <c r="I36" i="3"/>
  <c r="I33" i="3"/>
  <c r="C12" i="3"/>
  <c r="D12" i="3" s="1"/>
  <c r="E12" i="3" s="1"/>
  <c r="F12" i="3" s="1"/>
  <c r="G12" i="3" s="1"/>
  <c r="C11" i="3"/>
  <c r="D11" i="3" s="1"/>
  <c r="E11" i="3" s="1"/>
  <c r="F11" i="3" s="1"/>
  <c r="G11" i="3" s="1"/>
  <c r="H11" i="3" s="1"/>
  <c r="I5" i="3"/>
  <c r="I6" i="3"/>
  <c r="I7" i="3"/>
  <c r="I8" i="3"/>
  <c r="C324" i="3"/>
  <c r="D324" i="3" s="1"/>
  <c r="E324" i="3" s="1"/>
  <c r="F324" i="3" s="1"/>
  <c r="G324" i="3" s="1"/>
  <c r="H324" i="3" s="1"/>
  <c r="C323" i="3"/>
  <c r="D323" i="3" s="1"/>
  <c r="E323" i="3" s="1"/>
  <c r="F323" i="3" s="1"/>
  <c r="G323" i="3" s="1"/>
  <c r="H323" i="3" s="1"/>
  <c r="I318" i="3"/>
  <c r="I317" i="3"/>
  <c r="I316" i="3"/>
  <c r="C299" i="3"/>
  <c r="D299" i="3" s="1"/>
  <c r="E299" i="3" s="1"/>
  <c r="F299" i="3" s="1"/>
  <c r="G299" i="3" s="1"/>
  <c r="H299" i="3" s="1"/>
  <c r="C298" i="3"/>
  <c r="D298" i="3" s="1"/>
  <c r="E298" i="3" s="1"/>
  <c r="F298" i="3" s="1"/>
  <c r="G298" i="3" s="1"/>
  <c r="H298" i="3" s="1"/>
  <c r="I293" i="3"/>
  <c r="I292" i="3"/>
  <c r="I291" i="3"/>
  <c r="C38" i="3"/>
  <c r="D38" i="3" s="1"/>
  <c r="E38" i="3" s="1"/>
  <c r="I4" i="3"/>
  <c r="I62" i="3"/>
  <c r="I63" i="3"/>
  <c r="F38" i="3" l="1"/>
  <c r="G38" i="3" s="1"/>
  <c r="H38" i="3" s="1"/>
  <c r="H12" i="3"/>
</calcChain>
</file>

<file path=xl/sharedStrings.xml><?xml version="1.0" encoding="utf-8"?>
<sst xmlns="http://schemas.openxmlformats.org/spreadsheetml/2006/main" count="1259" uniqueCount="172">
  <si>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</si>
  <si>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</si>
  <si>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</si>
  <si>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</si>
  <si>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</si>
  <si>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</si>
  <si>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</si>
  <si>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</si>
  <si>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</si>
  <si>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</si>
  <si>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</si>
  <si>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</si>
  <si>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</si>
  <si>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</si>
  <si>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</si>
  <si>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</si>
  <si>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</si>
  <si>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</si>
  <si>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</si>
  <si>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</si>
  <si>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</si>
  <si>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</si>
  <si>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</si>
  <si>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</si>
  <si>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</si>
  <si>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</si>
  <si>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</si>
  <si>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</si>
  <si>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</si>
  <si>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</si>
  <si>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</t>
  </si>
  <si>
    <t>REQ002</t>
  </si>
  <si>
    <t>REQ003</t>
  </si>
  <si>
    <t>REQ004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</si>
  <si>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</si>
  <si>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</si>
  <si>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</si>
  <si>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</si>
  <si>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</si>
  <si>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</si>
  <si>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</si>
  <si>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</si>
  <si>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</si>
  <si>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K. Cañola</t>
  </si>
  <si>
    <t>Crear una página donde se puedan gestionar los usuarios registrados.</t>
  </si>
  <si>
    <t>Asegurar que solo las personas autorizadas puedan ingresar usando una contraseña.</t>
  </si>
  <si>
    <t>Habilitar la búsqueda rápida de productos mediante su nombre o código.</t>
  </si>
  <si>
    <t>Facilitar la eliminación de productos por nombre o código de identificación.</t>
  </si>
  <si>
    <t>Ofrecer la opción de editar productos utilizando su nombre o código.</t>
  </si>
  <si>
    <t>Incorporar productos nuevos mediante nombre o código de forma eficiente.</t>
  </si>
  <si>
    <t>Ingreso por Credenciales</t>
  </si>
  <si>
    <t>Administrador/Usuario</t>
  </si>
  <si>
    <t>Ingresar al sistema</t>
  </si>
  <si>
    <t xml:space="preserve">Iniciar sesion y distinguir el perfir del usuario </t>
  </si>
  <si>
    <t>No inciado</t>
  </si>
  <si>
    <t>Registro de nuevos clientes</t>
  </si>
  <si>
    <t>Registrar en la base de datos informacion de nuevos clientes</t>
  </si>
  <si>
    <t>Optimizar tiempos de cotizaciones de pedidos</t>
  </si>
  <si>
    <t>M. Lugmaña</t>
  </si>
  <si>
    <t>E. Tasiguano</t>
  </si>
  <si>
    <t>C, Marcalla</t>
  </si>
  <si>
    <t>REQ002-4</t>
  </si>
  <si>
    <t>Inicio de seción</t>
  </si>
  <si>
    <t>Registro de cliente</t>
  </si>
  <si>
    <t>Busqueda de cliente</t>
  </si>
  <si>
    <t>Modificación de cliente</t>
  </si>
  <si>
    <t>Eliminación de cliente</t>
  </si>
  <si>
    <t>Proformas de cotización</t>
  </si>
  <si>
    <t>REQ005</t>
  </si>
  <si>
    <t>REQ006</t>
  </si>
  <si>
    <t>Busqueda de clientes</t>
  </si>
  <si>
    <t>Editar clientes ingresados</t>
  </si>
  <si>
    <t>Eliminación de clientes registrados</t>
  </si>
  <si>
    <t>Generar PDF de cotizaciones</t>
  </si>
  <si>
    <t>Encontrar más rápido información de los clientes.</t>
  </si>
  <si>
    <t>Modificar datos personales del clientes cuando sea necessario.</t>
  </si>
  <si>
    <t>Borrar datos de los clientes definitivamente.</t>
  </si>
  <si>
    <t>Establecer apartado de administrador</t>
  </si>
  <si>
    <t>Crear el formulario de datos personales del cliente.</t>
  </si>
  <si>
    <t>Crear formulario de información adicional</t>
  </si>
  <si>
    <t>Validación de datos</t>
  </si>
  <si>
    <t>Registrar cliente en base de datos</t>
  </si>
  <si>
    <t>Mostrar resultados detallados con acceso rápido al perfil del cliente.</t>
  </si>
  <si>
    <t>REQ005-1</t>
  </si>
  <si>
    <t>REQ005-2</t>
  </si>
  <si>
    <t>REQ005-3</t>
  </si>
  <si>
    <t>Implementar búsqueda de clientes por nombre o apellido.</t>
  </si>
  <si>
    <t>Permitir búsqueda por número de identificación o teléfono.</t>
  </si>
  <si>
    <t>Mostrar una vista previa del cliente seleccionado antes de confirmar su eliminación.</t>
  </si>
  <si>
    <t>Implementar un mecanismo de confirmación doble para evitar eliminaciones accidentales.</t>
  </si>
  <si>
    <t>REQ006-1</t>
  </si>
  <si>
    <t>REQ006-2</t>
  </si>
  <si>
    <t>REQ006-3</t>
  </si>
  <si>
    <t>Permitir crear una nueva proforma seleccionando cliente, productos o servicios, cantidades y precios.</t>
  </si>
  <si>
    <t>Generar una vista previa imprimible o descargable en PDF de la proforma.</t>
  </si>
  <si>
    <t>Registrar y almacenar el historial de proformas emitidas para cada cliente.</t>
  </si>
  <si>
    <t>Implementar validaciones para evitar duplicados o información incompleta durante la modificación.</t>
  </si>
  <si>
    <t>Permitir buscar al cliente a modificar mediante cedula.</t>
  </si>
  <si>
    <t>Habilitar la edición de datos personales como nombres, dirección, email y telefono.</t>
  </si>
  <si>
    <t>Habilitar la búsqueda de clientes por medio de cédula.</t>
  </si>
  <si>
    <t>REQ007</t>
  </si>
  <si>
    <t>REQ008</t>
  </si>
  <si>
    <t>REQ009</t>
  </si>
  <si>
    <t>REQ010</t>
  </si>
  <si>
    <t>REQ011</t>
  </si>
  <si>
    <t>REQ012</t>
  </si>
  <si>
    <t>REQ013</t>
  </si>
  <si>
    <t>Historial de proformas</t>
  </si>
  <si>
    <t>Envío de proformas por correo electrónico</t>
  </si>
  <si>
    <t>Envío del catálogo</t>
  </si>
  <si>
    <t>Registro de producto</t>
  </si>
  <si>
    <t>Búsqueda de producto</t>
  </si>
  <si>
    <t>Modificación de producto</t>
  </si>
  <si>
    <t>Eliminación de producto</t>
  </si>
  <si>
    <t>Administrador / Cliente</t>
  </si>
  <si>
    <t>Terminado</t>
  </si>
  <si>
    <t>Consulta de proformas generadas</t>
  </si>
  <si>
    <t>Permitir visualizar y consultar el historial de proformas realizadas.</t>
  </si>
  <si>
    <t>Envío de proformas</t>
  </si>
  <si>
    <t>Enviar proformas generadas en PDF al correo electrónico del cliente.</t>
  </si>
  <si>
    <t>Registro de nuevos productos</t>
  </si>
  <si>
    <t>Búsqueda de productos</t>
  </si>
  <si>
    <t>Edición de productos registrados</t>
  </si>
  <si>
    <t>Eliminación de productos registrados</t>
  </si>
  <si>
    <t>Envío del catálogo de productos</t>
  </si>
  <si>
    <t>Permitir el envío del catálogo de productos para facilitar la consulta y selección.</t>
  </si>
  <si>
    <t>Registrar productos en la base de datos con su información básica (nombre, precio, stock, categoría, descripción).</t>
  </si>
  <si>
    <t>Buscar productos de forma rápida mediante nombre o código.</t>
  </si>
  <si>
    <t>Actualizar la información de productos existentes (precio, stock, descripción, categoría).</t>
  </si>
  <si>
    <t>Eliminar productos de manera permanente del inventario del sistema.</t>
  </si>
  <si>
    <t>REQ007-1</t>
  </si>
  <si>
    <t>REQ007-2</t>
  </si>
  <si>
    <t>REQ007-3</t>
  </si>
  <si>
    <t>Mostrar listado de proformas con filtros por fecha y cliente.</t>
  </si>
  <si>
    <t>Permitir visualizar el detalle de una proforma seleccionada.</t>
  </si>
  <si>
    <t>Permitir descargar o imprimir nuevamente una proforma en PDF.</t>
  </si>
  <si>
    <t>REQ008-1</t>
  </si>
  <si>
    <t>REQ008-2</t>
  </si>
  <si>
    <t>REQ008-3</t>
  </si>
  <si>
    <t>Configurar el servicio de envío de correos electrónicos (SMTP).</t>
  </si>
  <si>
    <t>Adjuntar automáticamente la proforma en formato PDF al correo.</t>
  </si>
  <si>
    <t>Registrar el envío de la proforma en el historial del sistema.</t>
  </si>
  <si>
    <t>REQ009-1</t>
  </si>
  <si>
    <t>REQ009-2</t>
  </si>
  <si>
    <t>REQ009-3</t>
  </si>
  <si>
    <t>Generar catálogo de productos en formato PDF.</t>
  </si>
  <si>
    <t>Permitir el envío del catálogo por correo electrónico.</t>
  </si>
  <si>
    <t>Actualizar automáticamente el catálogo cuando se modifiquen productos.</t>
  </si>
  <si>
    <t>REQ010-1</t>
  </si>
  <si>
    <t>REQ010-2</t>
  </si>
  <si>
    <t>REQ010-3</t>
  </si>
  <si>
    <t>REQ011-1</t>
  </si>
  <si>
    <t>REQ011-2</t>
  </si>
  <si>
    <t>REQ011-3</t>
  </si>
  <si>
    <t>REQ012-1</t>
  </si>
  <si>
    <t>REQ012-2</t>
  </si>
  <si>
    <t>REQ012-3</t>
  </si>
  <si>
    <t>REQ013-1</t>
  </si>
  <si>
    <t>REQ013-2</t>
  </si>
  <si>
    <t>REQ013-3</t>
  </si>
  <si>
    <t>Crear formulario de registro de productos (nombre, código, precio, stock).</t>
  </si>
  <si>
    <t>Validar campos obligatorios y formatos correctos.</t>
  </si>
  <si>
    <t>Guardar productos en la base de datos.</t>
  </si>
  <si>
    <t>Implementar búsqueda por nombre o código de producto.</t>
  </si>
  <si>
    <t>Mostrar resultados con información básica del producto.</t>
  </si>
  <si>
    <t>Permitir acceso rápido a edición o eliminación del producto.</t>
  </si>
  <si>
    <t>Permitir seleccionar un producto desde la búsqueda.</t>
  </si>
  <si>
    <t>Editar precios, stock y descripción del producto.</t>
  </si>
  <si>
    <t>Validar y guardar cambios en la base de datos.</t>
  </si>
  <si>
    <t>Buscar producto a eliminar por nombre o código.</t>
  </si>
  <si>
    <t>Mostrar confirmación antes de eliminar el producto.</t>
  </si>
  <si>
    <t>Eliminar definitivamente el producto de la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</si>
</sst>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  <scheme val="minor"/>
    </font>
    <font>
      <sz val="10"/>
      <color rgb="FF002060"/>
      <name val="Arial"/>
      <family val="2"/>
    </font>
    <font>
      <sz val="8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rgb="FF002060"/>
      <name val="Arial Narrow"/>
      <family val="2"/>
    </font>
    <font>
      <sz val="10"/>
      <color rgb="FF002060"/>
      <name val="Arial"/>
      <scheme val="minor"/>
    </font>
    <font>
      <sz val="11"/>
      <color rgb="FF00206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0" borderId="1" xfId="0" applyFont="1" applyBorder="1"/>
    <xf numFmtId="0" fontId="10" fillId="0" borderId="0" xfId="0" applyFont="1"/>
    <xf numFmtId="0" fontId="12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13" fillId="6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5" borderId="0" xfId="0" applyFont="1" applyFill="1"/>
    <xf numFmtId="0" fontId="7" fillId="5" borderId="0" xfId="0" applyFont="1" applyFill="1"/>
    <xf numFmtId="0" fontId="8" fillId="0" borderId="0" xfId="0" applyFont="1"/>
    <xf numFmtId="0" fontId="6" fillId="0" borderId="0" xfId="0" applyFont="1"/>
    <xf numFmtId="0" fontId="7" fillId="0" borderId="0" xfId="0" applyFont="1"/>
    <xf numFmtId="0" fontId="1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8" fillId="5" borderId="2" xfId="0" applyFont="1" applyFill="1" applyBorder="1"/>
    <xf numFmtId="0" fontId="15" fillId="0" borderId="0" xfId="0" applyFont="1" applyAlignment="1">
      <alignment horizontal="center" vertical="top"/>
    </xf>
    <xf numFmtId="0" fontId="7" fillId="5" borderId="2" xfId="0" applyFont="1" applyFill="1" applyBorder="1"/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/>
    </xf>
    <xf numFmtId="0" fontId="14" fillId="0" borderId="0" xfId="0" applyFont="1"/>
    <xf numFmtId="0" fontId="8" fillId="0" borderId="0" xfId="0" applyFont="1"/>
    <xf numFmtId="0" fontId="7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60</c:v>
                </c:pt>
                <c:pt idx="1">
                  <c:v>47</c:v>
                </c:pt>
                <c:pt idx="2">
                  <c:v>33</c:v>
                </c:pt>
                <c:pt idx="3">
                  <c:v>21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5-4E2E-8A09-71B2DBEE7386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60</c:v>
                </c:pt>
                <c:pt idx="1">
                  <c:v>48</c:v>
                </c:pt>
                <c:pt idx="2">
                  <c:v>36</c:v>
                </c:pt>
                <c:pt idx="3">
                  <c:v>24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5-4E2E-8A09-71B2DBEE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burdonchart!$B$65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burdonchart!$C$65:$H$65</c:f>
              <c:numCache>
                <c:formatCode>General</c:formatCode>
                <c:ptCount val="6"/>
                <c:pt idx="0">
                  <c:v>30</c:v>
                </c:pt>
                <c:pt idx="1">
                  <c:v>23</c:v>
                </c:pt>
                <c:pt idx="2">
                  <c:v>18</c:v>
                </c:pt>
                <c:pt idx="3">
                  <c:v>13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3-412A-959C-F17E1F93D1E2}"/>
            </c:ext>
          </c:extLst>
        </c:ser>
        <c:ser>
          <c:idx val="1"/>
          <c:order val="1"/>
          <c:tx>
            <c:strRef>
              <c:f>burdonchart!$B$66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burdonchart!$C$66:$H$66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3-412A-959C-F17E1F93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60</c:v>
                </c:pt>
                <c:pt idx="1">
                  <c:v>47</c:v>
                </c:pt>
                <c:pt idx="2">
                  <c:v>33</c:v>
                </c:pt>
                <c:pt idx="3">
                  <c:v>21</c:v>
                </c:pt>
                <c:pt idx="4">
                  <c:v>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C-480A-AC21-748F5FDBB6F7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60</c:v>
                </c:pt>
                <c:pt idx="1">
                  <c:v>48</c:v>
                </c:pt>
                <c:pt idx="2">
                  <c:v>36</c:v>
                </c:pt>
                <c:pt idx="3">
                  <c:v>24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C-480A-AC21-748F5FDB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142-49F9-80F1-3C68FE2CB7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142-49F9-80F1-3C68FE2C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B01-41FD-A77A-385C82305EC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burdonchart!#REF!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FB01-41FD-A77A-385C82305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burdonchart!$B$65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burdonchart!$C$65:$H$65</c:f>
              <c:numCache>
                <c:formatCode>General</c:formatCode>
                <c:ptCount val="6"/>
                <c:pt idx="0">
                  <c:v>30</c:v>
                </c:pt>
                <c:pt idx="1">
                  <c:v>23</c:v>
                </c:pt>
                <c:pt idx="2">
                  <c:v>18</c:v>
                </c:pt>
                <c:pt idx="3">
                  <c:v>13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03-492B-8AD0-696DBB9877B9}"/>
            </c:ext>
          </c:extLst>
        </c:ser>
        <c:ser>
          <c:idx val="1"/>
          <c:order val="1"/>
          <c:tx>
            <c:strRef>
              <c:f>burdonchart!$B$66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burdonchart!$C$66:$H$66</c:f>
              <c:numCache>
                <c:formatCode>General</c:formatCode>
                <c:ptCount val="6"/>
                <c:pt idx="0">
                  <c:v>30</c:v>
                </c:pt>
                <c:pt idx="1">
                  <c:v>24</c:v>
                </c:pt>
                <c:pt idx="2">
                  <c:v>18</c:v>
                </c:pt>
                <c:pt idx="3">
                  <c:v>12</c:v>
                </c:pt>
                <c:pt idx="4">
                  <c:v>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03-492B-8AD0-696DBB987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568779</xdr:colOff>
      <xdr:row>31</xdr:row>
      <xdr:rowOff>119742</xdr:rowOff>
    </xdr:from>
    <xdr:to>
      <xdr:col>15</xdr:col>
      <xdr:colOff>167368</xdr:colOff>
      <xdr:row>45</xdr:row>
      <xdr:rowOff>131989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592727</xdr:colOff>
      <xdr:row>58</xdr:row>
      <xdr:rowOff>40819</xdr:rowOff>
    </xdr:from>
    <xdr:to>
      <xdr:col>16</xdr:col>
      <xdr:colOff>381000</xdr:colOff>
      <xdr:row>74</xdr:row>
      <xdr:rowOff>190499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428171</xdr:colOff>
      <xdr:row>16</xdr:row>
      <xdr:rowOff>146957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611233</xdr:colOff>
      <xdr:row>290</xdr:row>
      <xdr:rowOff>136071</xdr:rowOff>
    </xdr:from>
    <xdr:to>
      <xdr:col>15</xdr:col>
      <xdr:colOff>214993</xdr:colOff>
      <xdr:row>304</xdr:row>
      <xdr:rowOff>72934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FA13882-60DE-4163-81D3-5BA79E318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611233</xdr:colOff>
      <xdr:row>315</xdr:row>
      <xdr:rowOff>136071</xdr:rowOff>
    </xdr:from>
    <xdr:to>
      <xdr:col>15</xdr:col>
      <xdr:colOff>214993</xdr:colOff>
      <xdr:row>329</xdr:row>
      <xdr:rowOff>72934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5AE5FB0-46C7-4271-A01C-4D9C4AA02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592727</xdr:colOff>
      <xdr:row>86</xdr:row>
      <xdr:rowOff>40819</xdr:rowOff>
    </xdr:from>
    <xdr:to>
      <xdr:col>16</xdr:col>
      <xdr:colOff>381000</xdr:colOff>
      <xdr:row>102</xdr:row>
      <xdr:rowOff>190499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35257F-A95F-4869-B47B-565517AB6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B40221-9F47-4D96-A321-64E15A29D5A5}" name="Table_138" displayName="Table_138" ref="I62:I63" headerRowCount="0" totalsRowShown="0">
  <tableColumns count="1">
    <tableColumn id="1" xr3:uid="{39D12BE6-76AE-45D3-B9AB-374B2C3BB84D}" name="Column1">
      <calculatedColumnFormula>SUM(D62:H62)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F3AEB-3CFB-40D6-B188-6917669DACEC}" name="Table_134" displayName="Table_134" ref="I4:I8" headerRowCount="0" totalsRowShown="0">
  <tableColumns count="1">
    <tableColumn id="1" xr3:uid="{14459500-6CA8-4E74-88BC-49C07CBBAF27}" name="Column1">
      <calculatedColumnFormula>SUM(D4:H4)</calculatedColumn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A62F31-DD29-4A2C-9055-4E46C152C8D2}" name="Table_1369" displayName="Table_1369" ref="I33:I36" headerRowCount="0" totalsRowShown="0">
  <tableColumns count="1">
    <tableColumn id="1" xr3:uid="{62D5555C-4162-4903-934E-0EAACBA6025E}" name="Column1">
      <calculatedColumnFormula>SUM(D33:H33)</calculatedColumnFormula>
    </tableColumn>
  </tableColumns>
  <tableStyleInfo name="burdoncha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2494838-F0E0-4E49-A5EB-489600078B06}" name="Table_138113514" displayName="Table_138113514" ref="I291:I293" headerRowCount="0" totalsRowShown="0">
  <tableColumns count="1">
    <tableColumn id="1" xr3:uid="{B5FC4C41-15EC-40AF-83F5-28D5773888D6}" name="Column1">
      <calculatedColumnFormula>SUM(D291:H291)</calculatedColumnFormula>
    </tableColumn>
  </tableColumns>
  <tableStyleInfo name="burdonchar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44FDD4-648E-43DA-9467-B7642E106BC8}" name="Table_138113515" displayName="Table_138113515" ref="I316:I318" headerRowCount="0" totalsRowShown="0">
  <tableColumns count="1">
    <tableColumn id="1" xr3:uid="{6669EF7F-2368-4261-88E2-2B10F4CDF903}" name="Column1">
      <calculatedColumnFormula>SUM(D316:H316)</calculatedColumnFormula>
    </tableColumn>
  </tableColumns>
  <tableStyleInfo name="burdonchar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BF103-B4C4-438A-86B8-8A8967633E1F}" name="Table_1382" displayName="Table_1382" ref="I90:I91" headerRowCount="0" totalsRowShown="0">
  <tableColumns count="1">
    <tableColumn id="1" xr3:uid="{CE930357-6630-4870-92FB-6F402D878AF2}" name="Column1">
      <calculatedColumnFormula>SUM(D90:H90)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3"/>
  <sheetViews>
    <sheetView topLeftCell="A55" zoomScale="66" zoomScaleNormal="66" workbookViewId="0">
      <selection activeCell="A55" sqref="A1:XFD1048576"/>
    </sheetView>
  </sheetViews>
  <sheetFormatPr baseColWidth="10" defaultColWidth="12.5546875" defaultRowHeight="15" customHeight="1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5" t="s">
        <v>109</v>
      </c>
      <c r="D59" s="25" t="s">
        <v>114</v>
      </c>
      <c r="E59" s="26" t="s">
        <v>124</v>
      </c>
      <c r="F59" s="26" t="s">
        <v>125</v>
      </c>
      <c r="G59" s="27"/>
      <c r="H59" s="23" t="s">
        <v>9</v>
      </c>
      <c r="I59" s="23" t="s">
        <v>54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40" t="s">
        <v>145</v>
      </c>
      <c r="D61" s="32"/>
      <c r="E61" s="32"/>
      <c r="F61" s="32"/>
      <c r="G61" s="33" t="s">
        <v>43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40" t="s">
        <v>146</v>
      </c>
      <c r="D62" s="32"/>
      <c r="E62" s="32"/>
      <c r="F62" s="32"/>
      <c r="G62" s="33" t="s">
        <v>43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40" t="s">
        <v>147</v>
      </c>
      <c r="D63" s="32"/>
      <c r="E63" s="32"/>
      <c r="F63" s="32"/>
      <c r="G63" s="33" t="s">
        <v>43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67</v>
      </c>
      <c r="D65" s="35" t="s">
        <v>30</v>
      </c>
      <c r="E65" s="39" t="s">
        <v>73</v>
      </c>
      <c r="F65" s="35" t="s">
        <v>57</v>
      </c>
      <c r="G65" s="39"/>
      <c r="H65" s="35" t="s">
        <v>9</v>
      </c>
      <c r="I65" s="23" t="s">
        <v>115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32" t="s">
        <v>93</v>
      </c>
      <c r="D67" s="32"/>
      <c r="E67" s="32"/>
      <c r="F67" s="32"/>
      <c r="G67" s="33" t="s">
        <v>60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32" t="s">
        <v>95</v>
      </c>
      <c r="D68" s="32"/>
      <c r="E68" s="32"/>
      <c r="F68" s="32"/>
      <c r="G68" s="33" t="s">
        <v>60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32" t="s">
        <v>94</v>
      </c>
      <c r="D69" s="32"/>
      <c r="E69" s="32"/>
      <c r="F69" s="32"/>
      <c r="G69" s="33" t="s">
        <v>60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s="10" customFormat="1" ht="15.75" customHeight="1" x14ac:dyDescent="0.25">
      <c r="B71" s="23" t="s">
        <v>105</v>
      </c>
      <c r="C71" s="24" t="s">
        <v>108</v>
      </c>
      <c r="D71" s="25" t="s">
        <v>114</v>
      </c>
      <c r="E71" s="26" t="s">
        <v>118</v>
      </c>
      <c r="F71" s="26" t="s">
        <v>119</v>
      </c>
      <c r="G71" s="23"/>
      <c r="H71" s="23" t="s">
        <v>9</v>
      </c>
      <c r="I71" s="23" t="s">
        <v>54</v>
      </c>
    </row>
    <row r="72" spans="2:9" s="10" customFormat="1" ht="15.75" customHeight="1" x14ac:dyDescent="0.25">
      <c r="B72" s="32"/>
      <c r="C72" s="32"/>
      <c r="D72" s="32"/>
      <c r="E72" s="32"/>
      <c r="F72" s="32"/>
      <c r="G72" s="32"/>
      <c r="H72" s="32"/>
      <c r="I72" s="32"/>
    </row>
    <row r="73" spans="2:9" s="10" customFormat="1" ht="15.75" customHeight="1" x14ac:dyDescent="0.25">
      <c r="B73" s="30" t="s">
        <v>154</v>
      </c>
      <c r="C73" s="40" t="s">
        <v>139</v>
      </c>
      <c r="D73" s="32"/>
      <c r="E73" s="32"/>
      <c r="F73" s="32"/>
      <c r="G73" s="33" t="s">
        <v>43</v>
      </c>
      <c r="H73" s="32"/>
      <c r="I73" s="34">
        <v>6</v>
      </c>
    </row>
    <row r="74" spans="2:9" s="10" customFormat="1" ht="15.75" customHeight="1" x14ac:dyDescent="0.25">
      <c r="B74" s="30" t="s">
        <v>155</v>
      </c>
      <c r="C74" s="40" t="s">
        <v>140</v>
      </c>
      <c r="D74" s="32"/>
      <c r="E74" s="32"/>
      <c r="F74" s="32"/>
      <c r="G74" s="33" t="s">
        <v>43</v>
      </c>
      <c r="H74" s="32"/>
      <c r="I74" s="34">
        <v>4</v>
      </c>
    </row>
    <row r="75" spans="2:9" s="10" customFormat="1" ht="15.75" customHeight="1" x14ac:dyDescent="0.25">
      <c r="B75" s="30" t="s">
        <v>156</v>
      </c>
      <c r="C75" s="40" t="s">
        <v>141</v>
      </c>
      <c r="D75" s="32"/>
      <c r="E75" s="32"/>
      <c r="F75" s="32"/>
      <c r="G75" s="33" t="s">
        <v>43</v>
      </c>
      <c r="H75" s="32"/>
      <c r="I75" s="34">
        <v>5</v>
      </c>
    </row>
    <row r="76" spans="2:9" ht="15.75" customHeight="1" x14ac:dyDescent="0.25">
      <c r="B76" s="40"/>
      <c r="C76" s="40"/>
      <c r="D76" s="40"/>
      <c r="E76" s="40"/>
      <c r="F76" s="40"/>
      <c r="G76" s="40"/>
      <c r="H76" s="40"/>
      <c r="I76" s="40"/>
    </row>
    <row r="77" spans="2:9" s="10" customFormat="1" ht="15.75" customHeight="1" x14ac:dyDescent="0.25">
      <c r="B77" s="23" t="s">
        <v>106</v>
      </c>
      <c r="C77" s="24" t="s">
        <v>107</v>
      </c>
      <c r="D77" s="23" t="s">
        <v>30</v>
      </c>
      <c r="E77" s="26" t="s">
        <v>116</v>
      </c>
      <c r="F77" s="26" t="s">
        <v>117</v>
      </c>
      <c r="G77" s="27"/>
      <c r="H77" s="23" t="s">
        <v>9</v>
      </c>
      <c r="I77" s="23" t="s">
        <v>54</v>
      </c>
    </row>
    <row r="78" spans="2:9" s="10" customFormat="1" ht="15.75" customHeight="1" x14ac:dyDescent="0.25">
      <c r="B78" s="32"/>
      <c r="C78" s="32"/>
      <c r="D78" s="32"/>
      <c r="E78" s="32"/>
      <c r="F78" s="32"/>
      <c r="G78" s="32"/>
      <c r="H78" s="32"/>
      <c r="I78" s="32"/>
    </row>
    <row r="79" spans="2:9" s="10" customFormat="1" ht="15.75" customHeight="1" x14ac:dyDescent="0.25">
      <c r="B79" s="30" t="s">
        <v>157</v>
      </c>
      <c r="C79" s="40" t="s">
        <v>133</v>
      </c>
      <c r="D79" s="32"/>
      <c r="E79" s="32"/>
      <c r="F79" s="32"/>
      <c r="G79" s="33" t="s">
        <v>60</v>
      </c>
      <c r="H79" s="32"/>
      <c r="I79" s="34">
        <v>6</v>
      </c>
    </row>
    <row r="80" spans="2:9" s="10" customFormat="1" ht="15.75" customHeight="1" x14ac:dyDescent="0.25">
      <c r="B80" s="30" t="s">
        <v>158</v>
      </c>
      <c r="C80" s="40" t="s">
        <v>134</v>
      </c>
      <c r="D80" s="32"/>
      <c r="E80" s="32"/>
      <c r="F80" s="32"/>
      <c r="G80" s="33" t="s">
        <v>60</v>
      </c>
      <c r="H80" s="32"/>
      <c r="I80" s="34">
        <v>4</v>
      </c>
    </row>
    <row r="81" spans="2:9" s="10" customFormat="1" ht="15.75" customHeight="1" x14ac:dyDescent="0.25">
      <c r="B81" s="30" t="s">
        <v>159</v>
      </c>
      <c r="C81" s="40" t="s">
        <v>135</v>
      </c>
      <c r="D81" s="32"/>
      <c r="E81" s="32"/>
      <c r="F81" s="32"/>
      <c r="G81" s="33" t="s">
        <v>60</v>
      </c>
      <c r="H81" s="32"/>
      <c r="I81" s="34">
        <v>5</v>
      </c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/>
    <row r="96" spans="2:9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14:F14"/>
    <mergeCell ref="C6:F6"/>
    <mergeCell ref="C7:F7"/>
    <mergeCell ref="C8:F8"/>
    <mergeCell ref="C12:F12"/>
    <mergeCell ref="C13:F13"/>
    <mergeCell ref="C15:F15"/>
    <mergeCell ref="C26:F26"/>
    <mergeCell ref="C27:F27"/>
    <mergeCell ref="C19:F19"/>
    <mergeCell ref="C20:F20"/>
    <mergeCell ref="C21:F21"/>
    <mergeCell ref="C25:F25"/>
  </mergeCells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4"/>
  <sheetViews>
    <sheetView zoomScale="66" zoomScaleNormal="66" workbookViewId="0">
      <selection activeCell="D26" sqref="D26"/>
    </sheetView>
  </sheetViews>
  <sheetFormatPr baseColWidth="10" defaultColWidth="12.5546875" defaultRowHeight="15" customHeight="1" x14ac:dyDescent="0.25"/>
  <cols>
    <col min="1" max="1" width="12.44140625" style="12" customWidth="1"/>
    <col min="2" max="2" width="47" style="12" customWidth="1"/>
    <col min="3" max="3" width="36" style="12" customWidth="1"/>
    <col min="4" max="4" width="44.5546875" style="12" customWidth="1"/>
    <col min="5" max="5" width="96.21875" style="12" customWidth="1"/>
    <col min="6" max="26" width="12.44140625" style="12" customWidth="1"/>
    <col min="27" max="16384" width="12.5546875" style="12"/>
  </cols>
  <sheetData>
    <row r="1" spans="1:8" ht="15.7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5.75" customHeight="1" x14ac:dyDescent="0.25">
      <c r="A2" s="13"/>
      <c r="B2" s="13"/>
      <c r="C2" s="13"/>
      <c r="D2" s="14"/>
      <c r="E2" s="14"/>
      <c r="G2" s="13"/>
      <c r="H2" s="13"/>
    </row>
    <row r="3" spans="1:8" s="15" customFormat="1" ht="15.75" customHeight="1" x14ac:dyDescent="0.25">
      <c r="A3" s="17" t="s">
        <v>8</v>
      </c>
      <c r="B3" s="18" t="s">
        <v>62</v>
      </c>
      <c r="C3" s="17" t="s">
        <v>30</v>
      </c>
      <c r="D3" s="17" t="s">
        <v>52</v>
      </c>
      <c r="E3" s="17" t="s">
        <v>53</v>
      </c>
      <c r="F3" s="19"/>
      <c r="G3" s="17" t="s">
        <v>9</v>
      </c>
      <c r="H3" s="17" t="s">
        <v>115</v>
      </c>
    </row>
    <row r="4" spans="1:8" s="15" customFormat="1" ht="15.75" customHeight="1" x14ac:dyDescent="0.25">
      <c r="A4" s="17" t="s">
        <v>31</v>
      </c>
      <c r="B4" s="18" t="s">
        <v>63</v>
      </c>
      <c r="C4" s="17" t="s">
        <v>30</v>
      </c>
      <c r="D4" s="17" t="s">
        <v>55</v>
      </c>
      <c r="E4" s="17" t="s">
        <v>56</v>
      </c>
      <c r="F4" s="17"/>
      <c r="G4" s="17" t="s">
        <v>9</v>
      </c>
      <c r="H4" s="17" t="s">
        <v>115</v>
      </c>
    </row>
    <row r="5" spans="1:8" s="15" customFormat="1" ht="15.75" customHeight="1" x14ac:dyDescent="0.25">
      <c r="A5" s="17" t="s">
        <v>32</v>
      </c>
      <c r="B5" s="18" t="s">
        <v>64</v>
      </c>
      <c r="C5" s="17" t="s">
        <v>30</v>
      </c>
      <c r="D5" s="17" t="s">
        <v>70</v>
      </c>
      <c r="E5" s="17" t="s">
        <v>74</v>
      </c>
      <c r="F5" s="19"/>
      <c r="G5" s="17" t="s">
        <v>9</v>
      </c>
      <c r="H5" s="17" t="s">
        <v>115</v>
      </c>
    </row>
    <row r="6" spans="1:8" s="15" customFormat="1" ht="15.75" customHeight="1" x14ac:dyDescent="0.25">
      <c r="A6" s="17" t="s">
        <v>33</v>
      </c>
      <c r="B6" s="18" t="s">
        <v>65</v>
      </c>
      <c r="C6" s="17" t="s">
        <v>30</v>
      </c>
      <c r="D6" s="17" t="s">
        <v>71</v>
      </c>
      <c r="E6" s="17" t="s">
        <v>75</v>
      </c>
      <c r="F6" s="19"/>
      <c r="G6" s="17" t="s">
        <v>9</v>
      </c>
      <c r="H6" s="17" t="s">
        <v>115</v>
      </c>
    </row>
    <row r="7" spans="1:8" s="16" customFormat="1" ht="14.1" customHeight="1" x14ac:dyDescent="0.25">
      <c r="A7" s="17" t="s">
        <v>68</v>
      </c>
      <c r="B7" s="20" t="s">
        <v>66</v>
      </c>
      <c r="C7" s="17" t="s">
        <v>30</v>
      </c>
      <c r="D7" s="17" t="s">
        <v>72</v>
      </c>
      <c r="E7" s="17" t="s">
        <v>76</v>
      </c>
      <c r="F7" s="19"/>
      <c r="G7" s="17" t="s">
        <v>9</v>
      </c>
      <c r="H7" s="17" t="s">
        <v>115</v>
      </c>
    </row>
    <row r="8" spans="1:8" ht="15.75" customHeight="1" x14ac:dyDescent="0.25">
      <c r="A8" s="17" t="s">
        <v>69</v>
      </c>
      <c r="B8" s="18" t="s">
        <v>110</v>
      </c>
      <c r="C8" s="17" t="s">
        <v>30</v>
      </c>
      <c r="D8" s="21" t="s">
        <v>120</v>
      </c>
      <c r="E8" s="21" t="s">
        <v>126</v>
      </c>
      <c r="F8" s="19"/>
      <c r="G8" s="17" t="s">
        <v>9</v>
      </c>
      <c r="H8" s="17" t="s">
        <v>115</v>
      </c>
    </row>
    <row r="9" spans="1:8" s="15" customFormat="1" ht="15.75" customHeight="1" x14ac:dyDescent="0.25">
      <c r="A9" s="17" t="s">
        <v>100</v>
      </c>
      <c r="B9" s="18" t="s">
        <v>111</v>
      </c>
      <c r="C9" s="17" t="s">
        <v>30</v>
      </c>
      <c r="D9" s="21" t="s">
        <v>121</v>
      </c>
      <c r="E9" s="21" t="s">
        <v>127</v>
      </c>
      <c r="F9" s="19"/>
      <c r="G9" s="17" t="s">
        <v>9</v>
      </c>
      <c r="H9" s="17" t="s">
        <v>115</v>
      </c>
    </row>
    <row r="10" spans="1:8" s="15" customFormat="1" ht="15.75" customHeight="1" x14ac:dyDescent="0.25">
      <c r="A10" s="17" t="s">
        <v>101</v>
      </c>
      <c r="B10" s="18" t="s">
        <v>112</v>
      </c>
      <c r="C10" s="17" t="s">
        <v>30</v>
      </c>
      <c r="D10" s="21" t="s">
        <v>122</v>
      </c>
      <c r="E10" s="21" t="s">
        <v>128</v>
      </c>
      <c r="F10" s="19"/>
      <c r="G10" s="17" t="s">
        <v>9</v>
      </c>
      <c r="H10" s="17" t="s">
        <v>115</v>
      </c>
    </row>
    <row r="11" spans="1:8" s="15" customFormat="1" ht="15.75" customHeight="1" x14ac:dyDescent="0.25">
      <c r="A11" s="17" t="s">
        <v>102</v>
      </c>
      <c r="B11" s="18" t="s">
        <v>113</v>
      </c>
      <c r="C11" s="17" t="s">
        <v>30</v>
      </c>
      <c r="D11" s="21" t="s">
        <v>123</v>
      </c>
      <c r="E11" s="21" t="s">
        <v>129</v>
      </c>
      <c r="F11" s="19"/>
      <c r="G11" s="17" t="s">
        <v>9</v>
      </c>
      <c r="H11" s="17" t="s">
        <v>115</v>
      </c>
    </row>
    <row r="12" spans="1:8" s="15" customFormat="1" ht="15.75" customHeight="1" x14ac:dyDescent="0.25">
      <c r="A12" s="17" t="s">
        <v>103</v>
      </c>
      <c r="B12" s="22" t="s">
        <v>109</v>
      </c>
      <c r="C12" s="22" t="s">
        <v>114</v>
      </c>
      <c r="D12" s="21" t="s">
        <v>124</v>
      </c>
      <c r="E12" s="21" t="s">
        <v>125</v>
      </c>
      <c r="F12" s="19"/>
      <c r="G12" s="17" t="s">
        <v>9</v>
      </c>
      <c r="H12" s="17" t="s">
        <v>115</v>
      </c>
    </row>
    <row r="13" spans="1:8" s="16" customFormat="1" ht="14.1" customHeight="1" x14ac:dyDescent="0.25">
      <c r="A13" s="17" t="s">
        <v>104</v>
      </c>
      <c r="B13" s="18" t="s">
        <v>67</v>
      </c>
      <c r="C13" s="17" t="s">
        <v>30</v>
      </c>
      <c r="D13" s="19" t="s">
        <v>73</v>
      </c>
      <c r="E13" s="17" t="s">
        <v>57</v>
      </c>
      <c r="F13" s="19"/>
      <c r="G13" s="17" t="s">
        <v>9</v>
      </c>
      <c r="H13" s="17" t="s">
        <v>115</v>
      </c>
    </row>
    <row r="14" spans="1:8" ht="15.75" customHeight="1" x14ac:dyDescent="0.25">
      <c r="A14" s="17" t="s">
        <v>105</v>
      </c>
      <c r="B14" s="18" t="s">
        <v>108</v>
      </c>
      <c r="C14" s="22" t="s">
        <v>114</v>
      </c>
      <c r="D14" s="21" t="s">
        <v>118</v>
      </c>
      <c r="E14" s="21" t="s">
        <v>119</v>
      </c>
      <c r="F14" s="17"/>
      <c r="G14" s="17" t="s">
        <v>9</v>
      </c>
      <c r="H14" s="17" t="s">
        <v>115</v>
      </c>
    </row>
    <row r="15" spans="1:8" ht="15.75" customHeight="1" x14ac:dyDescent="0.25">
      <c r="A15" s="17" t="s">
        <v>106</v>
      </c>
      <c r="B15" s="18" t="s">
        <v>107</v>
      </c>
      <c r="C15" s="17" t="s">
        <v>30</v>
      </c>
      <c r="D15" s="21" t="s">
        <v>116</v>
      </c>
      <c r="E15" s="21" t="s">
        <v>117</v>
      </c>
      <c r="F15" s="19"/>
      <c r="G15" s="17" t="s">
        <v>9</v>
      </c>
      <c r="H15" s="17" t="s">
        <v>115</v>
      </c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0D6B-2C62-4D7E-A906-B8342F6467B3}">
  <dimension ref="B1:I953"/>
  <sheetViews>
    <sheetView topLeftCell="A3" zoomScale="75" workbookViewId="0">
      <selection activeCell="A3" sqref="A1:XFD1048576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ht="15.75" customHeight="1" x14ac:dyDescent="0.25"/>
    <row r="35" spans="2:9" ht="15.75" customHeight="1" x14ac:dyDescent="0.25"/>
    <row r="36" spans="2:9" ht="15.75" customHeight="1" x14ac:dyDescent="0.25"/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</sheetData>
  <mergeCells count="13">
    <mergeCell ref="C27:F27"/>
    <mergeCell ref="C19:F19"/>
    <mergeCell ref="C20:F20"/>
    <mergeCell ref="C21:F21"/>
    <mergeCell ref="C25:F25"/>
    <mergeCell ref="C26:F26"/>
    <mergeCell ref="C14:F14"/>
    <mergeCell ref="C15:F15"/>
    <mergeCell ref="C6:F6"/>
    <mergeCell ref="C7:F7"/>
    <mergeCell ref="C8:F8"/>
    <mergeCell ref="C12:F12"/>
    <mergeCell ref="C13:F13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34A-B456-4E13-B879-0186A37C8BE5}">
  <dimension ref="B1:I953"/>
  <sheetViews>
    <sheetView topLeftCell="A47" workbookViewId="0">
      <selection activeCell="A47" sqref="A1:XFD1048576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/>
    <row r="64" spans="2:9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</sheetData>
  <mergeCells count="13">
    <mergeCell ref="C12:F12"/>
    <mergeCell ref="C13:F13"/>
    <mergeCell ref="C14:F14"/>
    <mergeCell ref="C15:F15"/>
    <mergeCell ref="C6:F6"/>
    <mergeCell ref="C7:F7"/>
    <mergeCell ref="C8:F8"/>
    <mergeCell ref="C27:F27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16F9-6909-4CF0-86AE-C0EE59DC9E9E}">
  <dimension ref="B1:I953"/>
  <sheetViews>
    <sheetView topLeftCell="A58" workbookViewId="0">
      <selection activeCell="A58" sqref="A1:XFD1048576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5" t="s">
        <v>109</v>
      </c>
      <c r="D59" s="25" t="s">
        <v>114</v>
      </c>
      <c r="E59" s="26" t="s">
        <v>124</v>
      </c>
      <c r="F59" s="26" t="s">
        <v>125</v>
      </c>
      <c r="G59" s="27"/>
      <c r="H59" s="23" t="s">
        <v>9</v>
      </c>
      <c r="I59" s="23" t="s">
        <v>54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40" t="s">
        <v>145</v>
      </c>
      <c r="D61" s="32"/>
      <c r="E61" s="32"/>
      <c r="F61" s="32"/>
      <c r="G61" s="33" t="s">
        <v>43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40" t="s">
        <v>146</v>
      </c>
      <c r="D62" s="32"/>
      <c r="E62" s="32"/>
      <c r="F62" s="32"/>
      <c r="G62" s="33" t="s">
        <v>43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40" t="s">
        <v>147</v>
      </c>
      <c r="D63" s="32"/>
      <c r="E63" s="32"/>
      <c r="F63" s="32"/>
      <c r="G63" s="33" t="s">
        <v>43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67</v>
      </c>
      <c r="D65" s="35" t="s">
        <v>30</v>
      </c>
      <c r="E65" s="39" t="s">
        <v>73</v>
      </c>
      <c r="F65" s="35" t="s">
        <v>57</v>
      </c>
      <c r="G65" s="39"/>
      <c r="H65" s="35" t="s">
        <v>9</v>
      </c>
      <c r="I65" s="23" t="s">
        <v>115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32" t="s">
        <v>93</v>
      </c>
      <c r="D67" s="32"/>
      <c r="E67" s="32"/>
      <c r="F67" s="32"/>
      <c r="G67" s="33" t="s">
        <v>60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32" t="s">
        <v>95</v>
      </c>
      <c r="D68" s="32"/>
      <c r="E68" s="32"/>
      <c r="F68" s="32"/>
      <c r="G68" s="33" t="s">
        <v>60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32" t="s">
        <v>94</v>
      </c>
      <c r="D69" s="32"/>
      <c r="E69" s="32"/>
      <c r="F69" s="32"/>
      <c r="G69" s="33" t="s">
        <v>60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ht="15.75" customHeight="1" x14ac:dyDescent="0.25"/>
    <row r="72" spans="2:9" ht="15.75" customHeight="1" x14ac:dyDescent="0.25"/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/>
    <row r="77" spans="2:9" ht="15.75" customHeight="1" x14ac:dyDescent="0.25"/>
    <row r="78" spans="2:9" ht="15.75" customHeight="1" x14ac:dyDescent="0.25"/>
    <row r="79" spans="2:9" ht="15.75" customHeight="1" x14ac:dyDescent="0.25"/>
    <row r="80" spans="2:9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</sheetData>
  <mergeCells count="13">
    <mergeCell ref="C14:F14"/>
    <mergeCell ref="C6:F6"/>
    <mergeCell ref="C7:F7"/>
    <mergeCell ref="C8:F8"/>
    <mergeCell ref="C12:F12"/>
    <mergeCell ref="C13:F13"/>
    <mergeCell ref="C27:F27"/>
    <mergeCell ref="C15:F15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4D37-447B-4D2E-845C-02BA9B0A2FF3}">
  <dimension ref="B1:I953"/>
  <sheetViews>
    <sheetView zoomScale="68" zoomScaleNormal="68" workbookViewId="0">
      <selection sqref="A1:XFD1048576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5" t="s">
        <v>109</v>
      </c>
      <c r="D59" s="25" t="s">
        <v>114</v>
      </c>
      <c r="E59" s="26" t="s">
        <v>124</v>
      </c>
      <c r="F59" s="26" t="s">
        <v>125</v>
      </c>
      <c r="G59" s="27"/>
      <c r="H59" s="23" t="s">
        <v>9</v>
      </c>
      <c r="I59" s="23" t="s">
        <v>54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40" t="s">
        <v>145</v>
      </c>
      <c r="D61" s="32"/>
      <c r="E61" s="32"/>
      <c r="F61" s="32"/>
      <c r="G61" s="33" t="s">
        <v>43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40" t="s">
        <v>146</v>
      </c>
      <c r="D62" s="32"/>
      <c r="E62" s="32"/>
      <c r="F62" s="32"/>
      <c r="G62" s="33" t="s">
        <v>43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40" t="s">
        <v>147</v>
      </c>
      <c r="D63" s="32"/>
      <c r="E63" s="32"/>
      <c r="F63" s="32"/>
      <c r="G63" s="33" t="s">
        <v>43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67</v>
      </c>
      <c r="D65" s="35" t="s">
        <v>30</v>
      </c>
      <c r="E65" s="39" t="s">
        <v>73</v>
      </c>
      <c r="F65" s="35" t="s">
        <v>57</v>
      </c>
      <c r="G65" s="39"/>
      <c r="H65" s="35" t="s">
        <v>9</v>
      </c>
      <c r="I65" s="23" t="s">
        <v>115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32" t="s">
        <v>93</v>
      </c>
      <c r="D67" s="32"/>
      <c r="E67" s="32"/>
      <c r="F67" s="32"/>
      <c r="G67" s="33" t="s">
        <v>60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32" t="s">
        <v>95</v>
      </c>
      <c r="D68" s="32"/>
      <c r="E68" s="32"/>
      <c r="F68" s="32"/>
      <c r="G68" s="33" t="s">
        <v>60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32" t="s">
        <v>94</v>
      </c>
      <c r="D69" s="32"/>
      <c r="E69" s="32"/>
      <c r="F69" s="32"/>
      <c r="G69" s="33" t="s">
        <v>60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s="10" customFormat="1" ht="15.75" customHeight="1" x14ac:dyDescent="0.25">
      <c r="B71" s="23" t="s">
        <v>105</v>
      </c>
      <c r="C71" s="24" t="s">
        <v>108</v>
      </c>
      <c r="D71" s="25" t="s">
        <v>114</v>
      </c>
      <c r="E71" s="26" t="s">
        <v>118</v>
      </c>
      <c r="F71" s="26" t="s">
        <v>119</v>
      </c>
      <c r="G71" s="23"/>
      <c r="H71" s="23" t="s">
        <v>9</v>
      </c>
      <c r="I71" s="23" t="s">
        <v>54</v>
      </c>
    </row>
    <row r="72" spans="2:9" s="10" customFormat="1" ht="15.75" customHeight="1" x14ac:dyDescent="0.25">
      <c r="B72" s="32"/>
      <c r="C72" s="32"/>
      <c r="D72" s="32"/>
      <c r="E72" s="32"/>
      <c r="F72" s="32"/>
      <c r="G72" s="32"/>
      <c r="H72" s="32"/>
      <c r="I72" s="32"/>
    </row>
    <row r="73" spans="2:9" s="10" customFormat="1" ht="15.75" customHeight="1" x14ac:dyDescent="0.25">
      <c r="B73" s="30" t="s">
        <v>154</v>
      </c>
      <c r="C73" s="40" t="s">
        <v>139</v>
      </c>
      <c r="D73" s="32"/>
      <c r="E73" s="32"/>
      <c r="F73" s="32"/>
      <c r="G73" s="33" t="s">
        <v>43</v>
      </c>
      <c r="H73" s="32"/>
      <c r="I73" s="34">
        <v>6</v>
      </c>
    </row>
    <row r="74" spans="2:9" s="10" customFormat="1" ht="15.75" customHeight="1" x14ac:dyDescent="0.25">
      <c r="B74" s="30" t="s">
        <v>155</v>
      </c>
      <c r="C74" s="40" t="s">
        <v>140</v>
      </c>
      <c r="D74" s="32"/>
      <c r="E74" s="32"/>
      <c r="F74" s="32"/>
      <c r="G74" s="33" t="s">
        <v>43</v>
      </c>
      <c r="H74" s="32"/>
      <c r="I74" s="34">
        <v>4</v>
      </c>
    </row>
    <row r="75" spans="2:9" s="10" customFormat="1" ht="15.75" customHeight="1" x14ac:dyDescent="0.25">
      <c r="B75" s="30" t="s">
        <v>156</v>
      </c>
      <c r="C75" s="40" t="s">
        <v>141</v>
      </c>
      <c r="D75" s="32"/>
      <c r="E75" s="32"/>
      <c r="F75" s="32"/>
      <c r="G75" s="33" t="s">
        <v>43</v>
      </c>
      <c r="H75" s="32"/>
      <c r="I75" s="34">
        <v>5</v>
      </c>
    </row>
    <row r="76" spans="2:9" ht="15.75" customHeight="1" x14ac:dyDescent="0.25">
      <c r="B76" s="40"/>
      <c r="C76" s="40"/>
      <c r="D76" s="40"/>
      <c r="E76" s="40"/>
      <c r="F76" s="40"/>
      <c r="G76" s="40"/>
      <c r="H76" s="40"/>
      <c r="I76" s="40"/>
    </row>
    <row r="77" spans="2:9" s="10" customFormat="1" ht="15.75" customHeight="1" x14ac:dyDescent="0.25">
      <c r="B77" s="23" t="s">
        <v>106</v>
      </c>
      <c r="C77" s="24" t="s">
        <v>107</v>
      </c>
      <c r="D77" s="23" t="s">
        <v>30</v>
      </c>
      <c r="E77" s="26" t="s">
        <v>116</v>
      </c>
      <c r="F77" s="26" t="s">
        <v>117</v>
      </c>
      <c r="G77" s="27"/>
      <c r="H77" s="23" t="s">
        <v>9</v>
      </c>
      <c r="I77" s="23" t="s">
        <v>54</v>
      </c>
    </row>
    <row r="78" spans="2:9" s="10" customFormat="1" ht="15.75" customHeight="1" x14ac:dyDescent="0.25">
      <c r="B78" s="32"/>
      <c r="C78" s="32"/>
      <c r="D78" s="32"/>
      <c r="E78" s="32"/>
      <c r="F78" s="32"/>
      <c r="G78" s="32"/>
      <c r="H78" s="32"/>
      <c r="I78" s="32"/>
    </row>
    <row r="79" spans="2:9" s="10" customFormat="1" ht="15.75" customHeight="1" x14ac:dyDescent="0.25">
      <c r="B79" s="30" t="s">
        <v>157</v>
      </c>
      <c r="C79" s="40" t="s">
        <v>133</v>
      </c>
      <c r="D79" s="32"/>
      <c r="E79" s="32"/>
      <c r="F79" s="32"/>
      <c r="G79" s="33" t="s">
        <v>60</v>
      </c>
      <c r="H79" s="32"/>
      <c r="I79" s="34">
        <v>6</v>
      </c>
    </row>
    <row r="80" spans="2:9" s="10" customFormat="1" ht="15.75" customHeight="1" x14ac:dyDescent="0.25">
      <c r="B80" s="30" t="s">
        <v>158</v>
      </c>
      <c r="C80" s="40" t="s">
        <v>134</v>
      </c>
      <c r="D80" s="32"/>
      <c r="E80" s="32"/>
      <c r="F80" s="32"/>
      <c r="G80" s="33" t="s">
        <v>60</v>
      </c>
      <c r="H80" s="32"/>
      <c r="I80" s="34">
        <v>4</v>
      </c>
    </row>
    <row r="81" spans="2:9" s="10" customFormat="1" ht="15.75" customHeight="1" x14ac:dyDescent="0.25">
      <c r="B81" s="30" t="s">
        <v>159</v>
      </c>
      <c r="C81" s="40" t="s">
        <v>135</v>
      </c>
      <c r="D81" s="32"/>
      <c r="E81" s="32"/>
      <c r="F81" s="32"/>
      <c r="G81" s="33" t="s">
        <v>60</v>
      </c>
      <c r="H81" s="32"/>
      <c r="I81" s="34">
        <v>5</v>
      </c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/>
    <row r="96" spans="2:9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14:F14"/>
    <mergeCell ref="C6:F6"/>
    <mergeCell ref="C7:F7"/>
    <mergeCell ref="C8:F8"/>
    <mergeCell ref="C12:F12"/>
    <mergeCell ref="C13:F13"/>
    <mergeCell ref="C27:F27"/>
    <mergeCell ref="C15:F15"/>
    <mergeCell ref="C19:F19"/>
    <mergeCell ref="C20:F20"/>
    <mergeCell ref="C21:F21"/>
    <mergeCell ref="C25:F25"/>
    <mergeCell ref="C26:F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0"/>
  <sheetViews>
    <sheetView tabSelected="1" topLeftCell="A96" zoomScale="70" zoomScaleNormal="70" workbookViewId="0">
      <selection activeCell="A80" sqref="A1:XFD1048576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8" width="12.44140625" customWidth="1"/>
    <col min="9" max="9" width="13.6640625" customWidth="1"/>
    <col min="10" max="26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15.75" customHeight="1" x14ac:dyDescent="0.25">
      <c r="B4" s="2" t="s">
        <v>8</v>
      </c>
      <c r="C4" s="5">
        <v>13</v>
      </c>
      <c r="D4" s="4">
        <v>3</v>
      </c>
      <c r="E4" s="4">
        <v>2</v>
      </c>
      <c r="F4" s="4">
        <v>4</v>
      </c>
      <c r="G4" s="4">
        <v>2</v>
      </c>
      <c r="H4" s="4">
        <v>2</v>
      </c>
      <c r="I4" s="6">
        <f>SUM(D4:H4)</f>
        <v>13</v>
      </c>
    </row>
    <row r="5" spans="1:9" ht="15.75" customHeight="1" x14ac:dyDescent="0.25">
      <c r="B5" s="2" t="s">
        <v>31</v>
      </c>
      <c r="C5" s="5">
        <v>20</v>
      </c>
      <c r="D5" s="4">
        <v>4</v>
      </c>
      <c r="E5" s="4">
        <v>4</v>
      </c>
      <c r="F5" s="4">
        <v>4</v>
      </c>
      <c r="G5" s="4">
        <v>4</v>
      </c>
      <c r="H5" s="4">
        <v>4</v>
      </c>
      <c r="I5" s="6">
        <f t="shared" ref="I5:I8" si="0">SUM(D5:H5)</f>
        <v>20</v>
      </c>
    </row>
    <row r="6" spans="1:9" ht="15.75" customHeight="1" x14ac:dyDescent="0.25">
      <c r="A6" s="3"/>
      <c r="B6" s="2" t="s">
        <v>32</v>
      </c>
      <c r="C6" s="5">
        <v>15</v>
      </c>
      <c r="D6" s="4">
        <v>3</v>
      </c>
      <c r="E6" s="4">
        <v>3</v>
      </c>
      <c r="F6" s="4">
        <v>3</v>
      </c>
      <c r="G6" s="4">
        <v>2</v>
      </c>
      <c r="H6" s="4">
        <v>4</v>
      </c>
      <c r="I6" s="6">
        <f t="shared" si="0"/>
        <v>15</v>
      </c>
    </row>
    <row r="7" spans="1:9" ht="15.75" customHeight="1" x14ac:dyDescent="0.25">
      <c r="B7" s="2" t="s">
        <v>33</v>
      </c>
      <c r="C7" s="5">
        <v>15</v>
      </c>
      <c r="D7" s="4">
        <v>5</v>
      </c>
      <c r="E7" s="4">
        <v>2</v>
      </c>
      <c r="F7" s="4">
        <v>3</v>
      </c>
      <c r="G7" s="4">
        <v>2</v>
      </c>
      <c r="H7" s="4">
        <v>3</v>
      </c>
      <c r="I7" s="6">
        <f t="shared" si="0"/>
        <v>15</v>
      </c>
    </row>
    <row r="8" spans="1:9" ht="15.75" customHeight="1" x14ac:dyDescent="0.25">
      <c r="B8" s="2" t="s">
        <v>68</v>
      </c>
      <c r="C8" s="5">
        <v>15</v>
      </c>
      <c r="D8" s="4">
        <v>3</v>
      </c>
      <c r="E8" s="4">
        <v>5</v>
      </c>
      <c r="F8" s="4">
        <v>4</v>
      </c>
      <c r="G8" s="4">
        <v>2</v>
      </c>
      <c r="H8" s="4">
        <v>1</v>
      </c>
      <c r="I8" s="6">
        <f t="shared" si="0"/>
        <v>15</v>
      </c>
    </row>
    <row r="9" spans="1:9" ht="15.75" customHeight="1" x14ac:dyDescent="0.25">
      <c r="C9" s="3"/>
      <c r="D9" s="3"/>
      <c r="E9" s="3"/>
      <c r="F9" s="3"/>
      <c r="G9" s="3"/>
      <c r="H9" s="3"/>
    </row>
    <row r="10" spans="1:9" ht="15.75" customHeight="1" x14ac:dyDescent="0.25"/>
    <row r="11" spans="1:9" ht="15.75" customHeight="1" x14ac:dyDescent="0.25">
      <c r="B11" s="7" t="s">
        <v>27</v>
      </c>
      <c r="C11" s="3">
        <f>SUM(C4:C8)</f>
        <v>78</v>
      </c>
      <c r="D11" s="3">
        <f>C11-SUM(D4:D8)</f>
        <v>60</v>
      </c>
      <c r="E11" s="3">
        <f>D11-SUM(E4:E8)</f>
        <v>44</v>
      </c>
      <c r="F11" s="3">
        <f>E11-SUM(F4:F8)</f>
        <v>26</v>
      </c>
      <c r="G11" s="3">
        <f>F11-SUM(G4:G8)</f>
        <v>14</v>
      </c>
      <c r="H11" s="3">
        <f>G11-SUM(H4:H8)</f>
        <v>0</v>
      </c>
    </row>
    <row r="12" spans="1:9" ht="15.75" customHeight="1" x14ac:dyDescent="0.25">
      <c r="B12" s="7" t="s">
        <v>28</v>
      </c>
      <c r="C12" s="3">
        <f>SUM(C4:C8)</f>
        <v>78</v>
      </c>
      <c r="D12" s="3">
        <f>C12-(SUM(C4:C8)/5)</f>
        <v>62.4</v>
      </c>
      <c r="E12" s="3">
        <f>D12-(SUM(C4:C8)/5)</f>
        <v>46.8</v>
      </c>
      <c r="F12" s="3">
        <f>E12-(SUM(C4:C8)/5)</f>
        <v>31.199999999999996</v>
      </c>
      <c r="G12" s="3">
        <f>F12-(SUM(C4:C8)/5)</f>
        <v>15.599999999999996</v>
      </c>
      <c r="H12" s="3">
        <f>G12-(SUM(C4:C8)/5)</f>
        <v>0</v>
      </c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>
      <c r="B16" s="43" t="s">
        <v>29</v>
      </c>
      <c r="C16" s="43"/>
      <c r="D16" s="43"/>
      <c r="E16" s="43"/>
      <c r="F16" s="43"/>
      <c r="G16" s="43"/>
    </row>
    <row r="17" spans="2:9" ht="15.75" customHeight="1" x14ac:dyDescent="0.25">
      <c r="B17" s="43"/>
      <c r="C17" s="43"/>
      <c r="D17" s="43"/>
      <c r="E17" s="43"/>
      <c r="F17" s="43"/>
      <c r="G17" s="43"/>
    </row>
    <row r="18" spans="2:9" ht="15.75" customHeight="1" x14ac:dyDescent="0.25">
      <c r="B18" s="43"/>
      <c r="C18" s="43"/>
      <c r="D18" s="43"/>
      <c r="E18" s="43"/>
      <c r="F18" s="43"/>
      <c r="G18" s="43"/>
    </row>
    <row r="19" spans="2:9" ht="15.75" customHeight="1" x14ac:dyDescent="0.25">
      <c r="B19" s="43"/>
      <c r="C19" s="43"/>
      <c r="D19" s="43"/>
      <c r="E19" s="43"/>
      <c r="F19" s="43"/>
      <c r="G19" s="43"/>
    </row>
    <row r="20" spans="2:9" ht="15.75" customHeight="1" x14ac:dyDescent="0.25">
      <c r="B20" s="43"/>
      <c r="C20" s="43"/>
      <c r="D20" s="43"/>
      <c r="E20" s="43"/>
      <c r="F20" s="43"/>
      <c r="G20" s="43"/>
    </row>
    <row r="21" spans="2:9" ht="15.75" customHeight="1" x14ac:dyDescent="0.25">
      <c r="B21" s="43"/>
      <c r="C21" s="43"/>
      <c r="D21" s="43"/>
      <c r="E21" s="43"/>
      <c r="F21" s="43"/>
      <c r="G21" s="43"/>
    </row>
    <row r="22" spans="2:9" ht="15.75" customHeight="1" x14ac:dyDescent="0.25">
      <c r="B22" s="43"/>
      <c r="C22" s="43"/>
      <c r="D22" s="43"/>
      <c r="E22" s="43"/>
      <c r="F22" s="43"/>
      <c r="G22" s="43"/>
    </row>
    <row r="23" spans="2:9" ht="15.75" customHeight="1" x14ac:dyDescent="0.25">
      <c r="B23" s="43"/>
      <c r="C23" s="43"/>
      <c r="D23" s="43"/>
      <c r="E23" s="43"/>
      <c r="F23" s="43"/>
      <c r="G23" s="43"/>
    </row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>
      <c r="B32" s="3"/>
      <c r="C32" s="3" t="s">
        <v>17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25</v>
      </c>
      <c r="I32" s="3" t="s">
        <v>26</v>
      </c>
    </row>
    <row r="33" spans="2:9" ht="15.75" customHeight="1" x14ac:dyDescent="0.25">
      <c r="B33" s="2" t="s">
        <v>69</v>
      </c>
      <c r="C33" s="5">
        <v>15</v>
      </c>
      <c r="D33" s="4">
        <v>3</v>
      </c>
      <c r="E33" s="4">
        <v>2</v>
      </c>
      <c r="F33" s="4">
        <v>3</v>
      </c>
      <c r="G33" s="4">
        <v>2</v>
      </c>
      <c r="H33" s="4">
        <v>5</v>
      </c>
      <c r="I33" s="6">
        <f>SUM(D33:H33)</f>
        <v>15</v>
      </c>
    </row>
    <row r="34" spans="2:9" ht="15.75" customHeight="1" x14ac:dyDescent="0.25">
      <c r="B34" s="2" t="s">
        <v>100</v>
      </c>
      <c r="C34" s="5">
        <v>15</v>
      </c>
      <c r="D34" s="4">
        <v>3</v>
      </c>
      <c r="E34" s="4">
        <v>4</v>
      </c>
      <c r="F34" s="4">
        <v>2</v>
      </c>
      <c r="G34" s="4">
        <v>3</v>
      </c>
      <c r="H34" s="4">
        <v>3</v>
      </c>
      <c r="I34" s="6">
        <f t="shared" ref="I34:I36" si="1">SUM(D34:H34)</f>
        <v>15</v>
      </c>
    </row>
    <row r="35" spans="2:9" ht="15.75" customHeight="1" x14ac:dyDescent="0.25">
      <c r="B35" s="2" t="s">
        <v>101</v>
      </c>
      <c r="C35" s="5">
        <v>15</v>
      </c>
      <c r="D35" s="4">
        <v>4</v>
      </c>
      <c r="E35" s="4">
        <v>4</v>
      </c>
      <c r="F35" s="4">
        <v>4</v>
      </c>
      <c r="G35" s="4">
        <v>1</v>
      </c>
      <c r="H35" s="4">
        <v>2</v>
      </c>
      <c r="I35" s="6">
        <f t="shared" si="1"/>
        <v>15</v>
      </c>
    </row>
    <row r="36" spans="2:9" ht="15.75" customHeight="1" x14ac:dyDescent="0.25">
      <c r="B36" s="2" t="s">
        <v>102</v>
      </c>
      <c r="C36" s="5">
        <v>15</v>
      </c>
      <c r="D36" s="4">
        <v>3</v>
      </c>
      <c r="E36" s="4">
        <v>4</v>
      </c>
      <c r="F36" s="4">
        <v>3</v>
      </c>
      <c r="G36" s="4">
        <v>2</v>
      </c>
      <c r="H36" s="4">
        <v>3</v>
      </c>
      <c r="I36" s="6">
        <f t="shared" si="1"/>
        <v>15</v>
      </c>
    </row>
    <row r="37" spans="2:9" ht="15.75" customHeight="1" x14ac:dyDescent="0.25"/>
    <row r="38" spans="2:9" ht="15.75" customHeight="1" x14ac:dyDescent="0.25">
      <c r="B38" s="7" t="s">
        <v>27</v>
      </c>
      <c r="C38" s="3">
        <f>SUM(C33:C36)</f>
        <v>60</v>
      </c>
      <c r="D38" s="3">
        <f>C38-SUM(D33:D36)</f>
        <v>47</v>
      </c>
      <c r="E38" s="3">
        <f>D38-SUM(E33:E36)</f>
        <v>33</v>
      </c>
      <c r="F38" s="3">
        <f>E38-SUM(F33:F36)</f>
        <v>21</v>
      </c>
      <c r="G38" s="3">
        <f>F38-SUM(G33:G36)</f>
        <v>13</v>
      </c>
      <c r="H38" s="3">
        <f>G38-SUM(H33:H36)</f>
        <v>0</v>
      </c>
    </row>
    <row r="39" spans="2:9" ht="15.75" customHeight="1" x14ac:dyDescent="0.25">
      <c r="B39" s="7" t="s">
        <v>28</v>
      </c>
      <c r="C39" s="3">
        <f>SUM(C33:C36)</f>
        <v>60</v>
      </c>
      <c r="D39" s="3">
        <f>C39-(SUM(C33:C36)/5)</f>
        <v>48</v>
      </c>
      <c r="E39" s="3">
        <f>D39-(SUM(C33:C36)/5)</f>
        <v>36</v>
      </c>
      <c r="F39" s="3">
        <f>E39-(SUM(C33:C36)/5)</f>
        <v>24</v>
      </c>
      <c r="G39" s="3">
        <f>F39-(SUM(C33:C36)/5)</f>
        <v>12</v>
      </c>
      <c r="H39" s="3">
        <f>G39-(SUM(C33:C36)/5)</f>
        <v>0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>
      <c r="B43" s="43" t="s">
        <v>29</v>
      </c>
      <c r="C43" s="43"/>
      <c r="D43" s="43"/>
      <c r="E43" s="43"/>
      <c r="F43" s="43"/>
      <c r="G43" s="43"/>
    </row>
    <row r="44" spans="2:9" ht="15.75" customHeight="1" x14ac:dyDescent="0.25">
      <c r="B44" s="43"/>
      <c r="C44" s="43"/>
      <c r="D44" s="43"/>
      <c r="E44" s="43"/>
      <c r="F44" s="43"/>
      <c r="G44" s="43"/>
    </row>
    <row r="45" spans="2:9" ht="15.75" customHeight="1" x14ac:dyDescent="0.25">
      <c r="B45" s="43"/>
      <c r="C45" s="43"/>
      <c r="D45" s="43"/>
      <c r="E45" s="43"/>
      <c r="F45" s="43"/>
      <c r="G45" s="43"/>
    </row>
    <row r="46" spans="2:9" ht="15.75" customHeight="1" x14ac:dyDescent="0.25">
      <c r="B46" s="43"/>
      <c r="C46" s="43"/>
      <c r="D46" s="43"/>
      <c r="E46" s="43"/>
      <c r="F46" s="43"/>
      <c r="G46" s="43"/>
    </row>
    <row r="47" spans="2:9" ht="15.75" customHeight="1" x14ac:dyDescent="0.25">
      <c r="B47" s="43"/>
      <c r="C47" s="43"/>
      <c r="D47" s="43"/>
      <c r="E47" s="43"/>
      <c r="F47" s="43"/>
      <c r="G47" s="43"/>
    </row>
    <row r="48" spans="2:9" ht="15.75" customHeight="1" x14ac:dyDescent="0.25">
      <c r="B48" s="43"/>
      <c r="C48" s="43"/>
      <c r="D48" s="43"/>
      <c r="E48" s="43"/>
      <c r="F48" s="43"/>
      <c r="G48" s="43"/>
    </row>
    <row r="49" spans="2:9" ht="15.75" customHeight="1" x14ac:dyDescent="0.25">
      <c r="B49" s="43"/>
      <c r="C49" s="43"/>
      <c r="D49" s="43"/>
      <c r="E49" s="43"/>
      <c r="F49" s="43"/>
      <c r="G49" s="43"/>
    </row>
    <row r="50" spans="2:9" ht="15.75" customHeight="1" x14ac:dyDescent="0.25">
      <c r="B50" s="43"/>
      <c r="C50" s="43"/>
      <c r="D50" s="43"/>
      <c r="E50" s="43"/>
      <c r="F50" s="43"/>
      <c r="G50" s="43"/>
    </row>
    <row r="51" spans="2:9" ht="15.75" customHeight="1" x14ac:dyDescent="0.25"/>
    <row r="52" spans="2:9" ht="15.75" customHeight="1" x14ac:dyDescent="0.25"/>
    <row r="53" spans="2:9" ht="15.75" customHeight="1" x14ac:dyDescent="0.25"/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>
      <c r="B61" s="3"/>
      <c r="C61" s="3" t="s">
        <v>17</v>
      </c>
      <c r="D61" s="3" t="s">
        <v>21</v>
      </c>
      <c r="E61" s="3" t="s">
        <v>22</v>
      </c>
      <c r="F61" s="3" t="s">
        <v>23</v>
      </c>
      <c r="G61" s="3" t="s">
        <v>24</v>
      </c>
      <c r="H61" s="3" t="s">
        <v>25</v>
      </c>
      <c r="I61" s="3" t="s">
        <v>26</v>
      </c>
    </row>
    <row r="62" spans="2:9" ht="15.75" customHeight="1" x14ac:dyDescent="0.25">
      <c r="B62" s="2" t="s">
        <v>103</v>
      </c>
      <c r="C62" s="5">
        <v>15</v>
      </c>
      <c r="D62" s="4">
        <v>3</v>
      </c>
      <c r="E62" s="4">
        <v>3</v>
      </c>
      <c r="F62" s="4">
        <v>3</v>
      </c>
      <c r="G62" s="4">
        <v>3</v>
      </c>
      <c r="H62" s="4">
        <v>3</v>
      </c>
      <c r="I62" s="6">
        <f>SUM(D62:H62)</f>
        <v>15</v>
      </c>
    </row>
    <row r="63" spans="2:9" ht="15.75" customHeight="1" x14ac:dyDescent="0.25">
      <c r="B63" s="2" t="s">
        <v>104</v>
      </c>
      <c r="C63" s="5">
        <v>15</v>
      </c>
      <c r="D63" s="4">
        <v>4</v>
      </c>
      <c r="E63" s="4">
        <v>2</v>
      </c>
      <c r="F63" s="4">
        <v>2</v>
      </c>
      <c r="G63" s="4">
        <v>3</v>
      </c>
      <c r="H63" s="4">
        <v>4</v>
      </c>
      <c r="I63" s="6">
        <f>SUM(D63:H63)</f>
        <v>15</v>
      </c>
    </row>
    <row r="64" spans="2:9" ht="15.75" customHeight="1" x14ac:dyDescent="0.25"/>
    <row r="65" spans="2:8" ht="15.75" customHeight="1" x14ac:dyDescent="0.25">
      <c r="B65" s="7" t="s">
        <v>27</v>
      </c>
      <c r="C65" s="3">
        <f>SUM(C62:C63)</f>
        <v>30</v>
      </c>
      <c r="D65" s="3">
        <f>C65-SUM(D62:D63)</f>
        <v>23</v>
      </c>
      <c r="E65" s="3">
        <f>D65-SUM(E62:E63)</f>
        <v>18</v>
      </c>
      <c r="F65" s="3">
        <f>E65-SUM(F62:F63)</f>
        <v>13</v>
      </c>
      <c r="G65" s="3">
        <f>F65-SUM(G62:G63)</f>
        <v>7</v>
      </c>
      <c r="H65" s="3">
        <f>G65-SUM(H62:H63)</f>
        <v>0</v>
      </c>
    </row>
    <row r="66" spans="2:8" ht="15.75" customHeight="1" x14ac:dyDescent="0.25">
      <c r="B66" s="7" t="s">
        <v>28</v>
      </c>
      <c r="C66" s="3">
        <f>SUM(C62:C63)</f>
        <v>30</v>
      </c>
      <c r="D66" s="3">
        <f>C66-(SUM(C62:C63)/5)</f>
        <v>24</v>
      </c>
      <c r="E66" s="3">
        <f>D66-(SUM(C62:C63)/5)</f>
        <v>18</v>
      </c>
      <c r="F66" s="3">
        <f>E66-(SUM(C62:C63)/5)</f>
        <v>12</v>
      </c>
      <c r="G66" s="3">
        <f>F66-(SUM(C62:C63)/5)</f>
        <v>6</v>
      </c>
      <c r="H66" s="3">
        <f>G66-(SUM(C62:C63)/5)</f>
        <v>0</v>
      </c>
    </row>
    <row r="67" spans="2:8" ht="15.75" customHeight="1" x14ac:dyDescent="0.25"/>
    <row r="68" spans="2:8" ht="15.75" customHeight="1" x14ac:dyDescent="0.25"/>
    <row r="69" spans="2:8" ht="15.75" customHeight="1" x14ac:dyDescent="0.25"/>
    <row r="70" spans="2:8" ht="15.75" customHeight="1" x14ac:dyDescent="0.25">
      <c r="B70" s="43" t="s">
        <v>29</v>
      </c>
      <c r="C70" s="43"/>
      <c r="D70" s="43"/>
      <c r="E70" s="43"/>
      <c r="F70" s="43"/>
      <c r="G70" s="43"/>
    </row>
    <row r="71" spans="2:8" ht="15.75" customHeight="1" x14ac:dyDescent="0.25">
      <c r="B71" s="43"/>
      <c r="C71" s="43"/>
      <c r="D71" s="43"/>
      <c r="E71" s="43"/>
      <c r="F71" s="43"/>
      <c r="G71" s="43"/>
    </row>
    <row r="72" spans="2:8" ht="15.75" customHeight="1" x14ac:dyDescent="0.25">
      <c r="B72" s="43"/>
      <c r="C72" s="43"/>
      <c r="D72" s="43"/>
      <c r="E72" s="43"/>
      <c r="F72" s="43"/>
      <c r="G72" s="43"/>
    </row>
    <row r="73" spans="2:8" ht="15.75" customHeight="1" x14ac:dyDescent="0.25">
      <c r="B73" s="43"/>
      <c r="C73" s="43"/>
      <c r="D73" s="43"/>
      <c r="E73" s="43"/>
      <c r="F73" s="43"/>
      <c r="G73" s="43"/>
    </row>
    <row r="74" spans="2:8" ht="15.75" customHeight="1" x14ac:dyDescent="0.25">
      <c r="B74" s="43"/>
      <c r="C74" s="43"/>
      <c r="D74" s="43"/>
      <c r="E74" s="43"/>
      <c r="F74" s="43"/>
      <c r="G74" s="43"/>
    </row>
    <row r="75" spans="2:8" ht="15.75" customHeight="1" x14ac:dyDescent="0.25">
      <c r="B75" s="43"/>
      <c r="C75" s="43"/>
      <c r="D75" s="43"/>
      <c r="E75" s="43"/>
      <c r="F75" s="43"/>
      <c r="G75" s="43"/>
    </row>
    <row r="76" spans="2:8" ht="15.75" customHeight="1" x14ac:dyDescent="0.25">
      <c r="B76" s="43"/>
      <c r="C76" s="43"/>
      <c r="D76" s="43"/>
      <c r="E76" s="43"/>
      <c r="F76" s="43"/>
      <c r="G76" s="43"/>
    </row>
    <row r="77" spans="2:8" ht="15.75" customHeight="1" x14ac:dyDescent="0.25">
      <c r="B77" s="43"/>
      <c r="C77" s="43"/>
      <c r="D77" s="43"/>
      <c r="E77" s="43"/>
      <c r="F77" s="43"/>
      <c r="G77" s="43"/>
    </row>
    <row r="78" spans="2:8" ht="15.75" customHeight="1" x14ac:dyDescent="0.25"/>
    <row r="79" spans="2:8" ht="15.75" customHeight="1" x14ac:dyDescent="0.25"/>
    <row r="80" spans="2:8" ht="15.75" customHeight="1" x14ac:dyDescent="0.25"/>
    <row r="81" spans="2:9" ht="15.75" customHeight="1" x14ac:dyDescent="0.25"/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>
      <c r="B89" s="3"/>
      <c r="C89" s="3" t="s">
        <v>17</v>
      </c>
      <c r="D89" s="3" t="s">
        <v>21</v>
      </c>
      <c r="E89" s="3" t="s">
        <v>22</v>
      </c>
      <c r="F89" s="3" t="s">
        <v>23</v>
      </c>
      <c r="G89" s="3" t="s">
        <v>24</v>
      </c>
      <c r="H89" s="3" t="s">
        <v>25</v>
      </c>
      <c r="I89" s="3" t="s">
        <v>26</v>
      </c>
    </row>
    <row r="90" spans="2:9" ht="15.75" customHeight="1" x14ac:dyDescent="0.25">
      <c r="B90" s="2" t="s">
        <v>105</v>
      </c>
      <c r="C90" s="5">
        <v>15</v>
      </c>
      <c r="D90" s="4">
        <v>2</v>
      </c>
      <c r="E90" s="4">
        <v>4</v>
      </c>
      <c r="F90" s="4">
        <v>3</v>
      </c>
      <c r="G90" s="4">
        <v>4</v>
      </c>
      <c r="H90" s="4">
        <v>2</v>
      </c>
      <c r="I90" s="6">
        <f>SUM(D90:H90)</f>
        <v>15</v>
      </c>
    </row>
    <row r="91" spans="2:9" ht="15.75" customHeight="1" x14ac:dyDescent="0.25">
      <c r="B91" s="2" t="s">
        <v>106</v>
      </c>
      <c r="C91" s="5">
        <v>15</v>
      </c>
      <c r="D91" s="4">
        <v>4</v>
      </c>
      <c r="E91" s="4">
        <v>2</v>
      </c>
      <c r="F91" s="4">
        <v>3</v>
      </c>
      <c r="G91" s="4">
        <v>3</v>
      </c>
      <c r="H91" s="4">
        <v>3</v>
      </c>
      <c r="I91" s="6">
        <f>SUM(D91:H91)</f>
        <v>15</v>
      </c>
    </row>
    <row r="92" spans="2:9" ht="15.75" customHeight="1" x14ac:dyDescent="0.25"/>
    <row r="93" spans="2:9" ht="15.75" customHeight="1" x14ac:dyDescent="0.25">
      <c r="B93" s="7" t="s">
        <v>27</v>
      </c>
      <c r="C93" s="3">
        <f>SUM(C90:C91)</f>
        <v>30</v>
      </c>
      <c r="D93" s="3">
        <f>C93-SUM(D90:D91)</f>
        <v>24</v>
      </c>
      <c r="E93" s="3">
        <f>D93-SUM(E90:E91)</f>
        <v>18</v>
      </c>
      <c r="F93" s="3">
        <f>E93-SUM(F90:F91)</f>
        <v>12</v>
      </c>
      <c r="G93" s="3">
        <f>F93-SUM(G90:G91)</f>
        <v>5</v>
      </c>
      <c r="H93" s="3">
        <f>G93-SUM(H90:H91)</f>
        <v>0</v>
      </c>
    </row>
    <row r="94" spans="2:9" ht="15.75" customHeight="1" x14ac:dyDescent="0.25">
      <c r="B94" s="7" t="s">
        <v>28</v>
      </c>
      <c r="C94" s="3">
        <f>SUM(C90:C91)</f>
        <v>30</v>
      </c>
      <c r="D94" s="3">
        <f>C94-(SUM(C90:C91)/5)</f>
        <v>24</v>
      </c>
      <c r="E94" s="3">
        <f>D94-(SUM(C90:C91)/5)</f>
        <v>18</v>
      </c>
      <c r="F94" s="3">
        <f>E94-(SUM(C90:C91)/5)</f>
        <v>12</v>
      </c>
      <c r="G94" s="3">
        <f>F94-(SUM(C90:C91)/5)</f>
        <v>6</v>
      </c>
      <c r="H94" s="3">
        <f>G94-(SUM(C90:C91)/5)</f>
        <v>0</v>
      </c>
    </row>
    <row r="95" spans="2:9" ht="15.75" customHeight="1" x14ac:dyDescent="0.25"/>
    <row r="96" spans="2:9" ht="15.75" customHeight="1" x14ac:dyDescent="0.25"/>
    <row r="97" spans="2:7" ht="15.75" customHeight="1" x14ac:dyDescent="0.25"/>
    <row r="98" spans="2:7" ht="15.75" customHeight="1" x14ac:dyDescent="0.25">
      <c r="B98" s="43" t="s">
        <v>29</v>
      </c>
      <c r="C98" s="43"/>
      <c r="D98" s="43"/>
      <c r="E98" s="43"/>
      <c r="F98" s="43"/>
      <c r="G98" s="43"/>
    </row>
    <row r="99" spans="2:7" ht="15.75" customHeight="1" x14ac:dyDescent="0.25">
      <c r="B99" s="43"/>
      <c r="C99" s="43"/>
      <c r="D99" s="43"/>
      <c r="E99" s="43"/>
      <c r="F99" s="43"/>
      <c r="G99" s="43"/>
    </row>
    <row r="100" spans="2:7" ht="15.75" customHeight="1" x14ac:dyDescent="0.25">
      <c r="B100" s="43"/>
      <c r="C100" s="43"/>
      <c r="D100" s="43"/>
      <c r="E100" s="43"/>
      <c r="F100" s="43"/>
      <c r="G100" s="43"/>
    </row>
    <row r="101" spans="2:7" ht="15.75" customHeight="1" x14ac:dyDescent="0.25">
      <c r="B101" s="43"/>
      <c r="C101" s="43"/>
      <c r="D101" s="43"/>
      <c r="E101" s="43"/>
      <c r="F101" s="43"/>
      <c r="G101" s="43"/>
    </row>
    <row r="102" spans="2:7" ht="15.75" customHeight="1" x14ac:dyDescent="0.25">
      <c r="B102" s="43"/>
      <c r="C102" s="43"/>
      <c r="D102" s="43"/>
      <c r="E102" s="43"/>
      <c r="F102" s="43"/>
      <c r="G102" s="43"/>
    </row>
    <row r="103" spans="2:7" ht="15.75" customHeight="1" x14ac:dyDescent="0.25">
      <c r="B103" s="43"/>
      <c r="C103" s="43"/>
      <c r="D103" s="43"/>
      <c r="E103" s="43"/>
      <c r="F103" s="43"/>
      <c r="G103" s="43"/>
    </row>
    <row r="104" spans="2:7" ht="15.75" customHeight="1" x14ac:dyDescent="0.25">
      <c r="B104" s="43"/>
      <c r="C104" s="43"/>
      <c r="D104" s="43"/>
      <c r="E104" s="43"/>
      <c r="F104" s="43"/>
      <c r="G104" s="43"/>
    </row>
    <row r="105" spans="2:7" ht="15.75" customHeight="1" x14ac:dyDescent="0.25">
      <c r="B105" s="43"/>
      <c r="C105" s="43"/>
      <c r="D105" s="43"/>
      <c r="E105" s="43"/>
      <c r="F105" s="43"/>
      <c r="G105" s="43"/>
    </row>
    <row r="106" spans="2:7" ht="15.75" customHeight="1" x14ac:dyDescent="0.25"/>
    <row r="107" spans="2:7" ht="15.75" customHeight="1" x14ac:dyDescent="0.25"/>
    <row r="108" spans="2:7" ht="15.75" customHeight="1" x14ac:dyDescent="0.25"/>
    <row r="109" spans="2:7" ht="15.75" customHeight="1" x14ac:dyDescent="0.25"/>
    <row r="110" spans="2:7" ht="15.75" customHeight="1" x14ac:dyDescent="0.25"/>
    <row r="111" spans="2:7" ht="15.75" customHeight="1" x14ac:dyDescent="0.25"/>
    <row r="112" spans="2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spans="2:9" ht="15.75" customHeight="1" x14ac:dyDescent="0.25"/>
    <row r="290" spans="2:9" ht="15.75" customHeight="1" x14ac:dyDescent="0.25">
      <c r="B290" s="3"/>
      <c r="C290" s="3" t="s">
        <v>17</v>
      </c>
      <c r="D290" s="3" t="s">
        <v>21</v>
      </c>
      <c r="E290" s="3" t="s">
        <v>22</v>
      </c>
      <c r="F290" s="3" t="s">
        <v>23</v>
      </c>
      <c r="G290" s="3" t="s">
        <v>24</v>
      </c>
      <c r="H290" s="3" t="s">
        <v>25</v>
      </c>
      <c r="I290" s="3" t="s">
        <v>26</v>
      </c>
    </row>
    <row r="291" spans="2:9" ht="15.75" customHeight="1" x14ac:dyDescent="0.25">
      <c r="B291" s="2" t="s">
        <v>154</v>
      </c>
      <c r="C291" s="5">
        <v>6</v>
      </c>
      <c r="D291" s="4">
        <v>1</v>
      </c>
      <c r="E291" s="4">
        <v>1</v>
      </c>
      <c r="F291" s="4">
        <v>1</v>
      </c>
      <c r="G291" s="4">
        <v>1</v>
      </c>
      <c r="H291" s="4">
        <v>2</v>
      </c>
      <c r="I291" s="6">
        <f>SUM(D291:H291)</f>
        <v>6</v>
      </c>
    </row>
    <row r="292" spans="2:9" ht="15.75" customHeight="1" x14ac:dyDescent="0.25">
      <c r="B292" s="2" t="s">
        <v>155</v>
      </c>
      <c r="C292" s="5">
        <v>4</v>
      </c>
      <c r="D292" s="4">
        <v>1</v>
      </c>
      <c r="E292" s="4">
        <v>1</v>
      </c>
      <c r="F292" s="4">
        <v>1</v>
      </c>
      <c r="G292" s="4">
        <v>1</v>
      </c>
      <c r="H292" s="4">
        <v>0</v>
      </c>
      <c r="I292" s="6">
        <f>SUM(D292:H292)</f>
        <v>4</v>
      </c>
    </row>
    <row r="293" spans="2:9" ht="15.75" customHeight="1" x14ac:dyDescent="0.25">
      <c r="B293" s="2" t="s">
        <v>156</v>
      </c>
      <c r="C293" s="5">
        <v>5</v>
      </c>
      <c r="D293" s="4">
        <v>2</v>
      </c>
      <c r="E293" s="4">
        <v>1</v>
      </c>
      <c r="F293" s="4">
        <v>1</v>
      </c>
      <c r="G293" s="4">
        <v>1</v>
      </c>
      <c r="H293" s="4">
        <v>0</v>
      </c>
      <c r="I293" s="6">
        <f>SUM(D293:H293)</f>
        <v>5</v>
      </c>
    </row>
    <row r="294" spans="2:9" ht="15.75" customHeight="1" x14ac:dyDescent="0.25"/>
    <row r="295" spans="2:9" ht="15.75" customHeight="1" x14ac:dyDescent="0.25"/>
    <row r="296" spans="2:9" ht="15.75" customHeight="1" x14ac:dyDescent="0.25">
      <c r="B296" s="8"/>
      <c r="C296" s="3"/>
      <c r="D296" s="3"/>
      <c r="E296" s="3"/>
      <c r="F296" s="3"/>
      <c r="G296" s="3"/>
      <c r="H296" s="3"/>
    </row>
    <row r="297" spans="2:9" ht="15.75" customHeight="1" x14ac:dyDescent="0.25"/>
    <row r="298" spans="2:9" ht="15.75" customHeight="1" x14ac:dyDescent="0.25">
      <c r="B298" s="7" t="s">
        <v>27</v>
      </c>
      <c r="C298" s="3">
        <f>SUM(C291:C293)</f>
        <v>15</v>
      </c>
      <c r="D298" s="3">
        <f>C298-SUM(D291:D293)</f>
        <v>11</v>
      </c>
      <c r="E298" s="3">
        <f>D298-SUM(E291:E293)</f>
        <v>8</v>
      </c>
      <c r="F298" s="3">
        <f>E298-SUM(F291:F293)</f>
        <v>5</v>
      </c>
      <c r="G298" s="3">
        <f>F298-SUM(G291:G293)</f>
        <v>2</v>
      </c>
      <c r="H298" s="3">
        <f>G298-SUM(H291:H293)</f>
        <v>0</v>
      </c>
    </row>
    <row r="299" spans="2:9" ht="15.75" customHeight="1" x14ac:dyDescent="0.25">
      <c r="B299" s="7" t="s">
        <v>28</v>
      </c>
      <c r="C299" s="3">
        <f>SUM(C291:C293)</f>
        <v>15</v>
      </c>
      <c r="D299" s="3">
        <f>C299-(SUM(C291:C293)/5)</f>
        <v>12</v>
      </c>
      <c r="E299" s="3">
        <f>D299-(SUM(D291:D293)/5)</f>
        <v>11.2</v>
      </c>
      <c r="F299" s="3">
        <f>E299-(SUM(E291:E293)/5)</f>
        <v>10.6</v>
      </c>
      <c r="G299" s="3">
        <f>F299-(SUM(F291:F293)/5)</f>
        <v>10</v>
      </c>
      <c r="H299" s="3">
        <f>G299-(SUM(G291:G293)/5)</f>
        <v>9.4</v>
      </c>
    </row>
    <row r="300" spans="2:9" ht="15.75" customHeight="1" x14ac:dyDescent="0.25"/>
    <row r="301" spans="2:9" ht="15.75" customHeight="1" x14ac:dyDescent="0.25"/>
    <row r="302" spans="2:9" ht="15.75" customHeight="1" x14ac:dyDescent="0.25"/>
    <row r="303" spans="2:9" ht="15.75" customHeight="1" x14ac:dyDescent="0.25">
      <c r="B303" s="43" t="s">
        <v>29</v>
      </c>
      <c r="C303" s="43"/>
      <c r="D303" s="43"/>
      <c r="E303" s="43"/>
      <c r="F303" s="43"/>
      <c r="G303" s="43"/>
    </row>
    <row r="304" spans="2:9" ht="15.75" customHeight="1" x14ac:dyDescent="0.25">
      <c r="B304" s="43"/>
      <c r="C304" s="43"/>
      <c r="D304" s="43"/>
      <c r="E304" s="43"/>
      <c r="F304" s="43"/>
      <c r="G304" s="43"/>
    </row>
    <row r="305" spans="2:9" ht="15.75" customHeight="1" x14ac:dyDescent="0.25">
      <c r="B305" s="43"/>
      <c r="C305" s="43"/>
      <c r="D305" s="43"/>
      <c r="E305" s="43"/>
      <c r="F305" s="43"/>
      <c r="G305" s="43"/>
    </row>
    <row r="306" spans="2:9" ht="15.75" customHeight="1" x14ac:dyDescent="0.25">
      <c r="B306" s="43"/>
      <c r="C306" s="43"/>
      <c r="D306" s="43"/>
      <c r="E306" s="43"/>
      <c r="F306" s="43"/>
      <c r="G306" s="43"/>
    </row>
    <row r="307" spans="2:9" ht="15.75" customHeight="1" x14ac:dyDescent="0.25">
      <c r="B307" s="43"/>
      <c r="C307" s="43"/>
      <c r="D307" s="43"/>
      <c r="E307" s="43"/>
      <c r="F307" s="43"/>
      <c r="G307" s="43"/>
    </row>
    <row r="308" spans="2:9" ht="15.75" customHeight="1" x14ac:dyDescent="0.25">
      <c r="B308" s="43"/>
      <c r="C308" s="43"/>
      <c r="D308" s="43"/>
      <c r="E308" s="43"/>
      <c r="F308" s="43"/>
      <c r="G308" s="43"/>
    </row>
    <row r="309" spans="2:9" ht="15.75" customHeight="1" x14ac:dyDescent="0.25">
      <c r="B309" s="43"/>
      <c r="C309" s="43"/>
      <c r="D309" s="43"/>
      <c r="E309" s="43"/>
      <c r="F309" s="43"/>
      <c r="G309" s="43"/>
    </row>
    <row r="310" spans="2:9" ht="15.75" customHeight="1" x14ac:dyDescent="0.25">
      <c r="B310" s="43"/>
      <c r="C310" s="43"/>
      <c r="D310" s="43"/>
      <c r="E310" s="43"/>
      <c r="F310" s="43"/>
      <c r="G310" s="43"/>
    </row>
    <row r="311" spans="2:9" ht="15.75" customHeight="1" x14ac:dyDescent="0.25"/>
    <row r="312" spans="2:9" ht="15.75" customHeight="1" x14ac:dyDescent="0.25"/>
    <row r="313" spans="2:9" ht="15.75" customHeight="1" x14ac:dyDescent="0.25"/>
    <row r="314" spans="2:9" ht="15.75" customHeight="1" x14ac:dyDescent="0.25"/>
    <row r="315" spans="2:9" ht="15.75" customHeight="1" x14ac:dyDescent="0.25">
      <c r="B315" s="3"/>
      <c r="C315" s="3" t="s">
        <v>17</v>
      </c>
      <c r="D315" s="3" t="s">
        <v>21</v>
      </c>
      <c r="E315" s="3" t="s">
        <v>22</v>
      </c>
      <c r="F315" s="3" t="s">
        <v>23</v>
      </c>
      <c r="G315" s="3" t="s">
        <v>24</v>
      </c>
      <c r="H315" s="3" t="s">
        <v>25</v>
      </c>
      <c r="I315" s="3" t="s">
        <v>26</v>
      </c>
    </row>
    <row r="316" spans="2:9" ht="15.75" customHeight="1" x14ac:dyDescent="0.25">
      <c r="B316" s="2" t="s">
        <v>157</v>
      </c>
      <c r="C316" s="5">
        <v>6</v>
      </c>
      <c r="D316" s="4">
        <v>1</v>
      </c>
      <c r="E316" s="4">
        <v>1</v>
      </c>
      <c r="F316" s="4">
        <v>1</v>
      </c>
      <c r="G316" s="4">
        <v>1</v>
      </c>
      <c r="H316" s="4">
        <v>2</v>
      </c>
      <c r="I316" s="6">
        <f>SUM(D316:H316)</f>
        <v>6</v>
      </c>
    </row>
    <row r="317" spans="2:9" ht="15.75" customHeight="1" x14ac:dyDescent="0.25">
      <c r="B317" s="2" t="s">
        <v>158</v>
      </c>
      <c r="C317" s="5">
        <v>4</v>
      </c>
      <c r="D317" s="4">
        <v>1</v>
      </c>
      <c r="E317" s="4">
        <v>1</v>
      </c>
      <c r="F317" s="4">
        <v>1</v>
      </c>
      <c r="G317" s="4">
        <v>1</v>
      </c>
      <c r="H317" s="4">
        <v>0</v>
      </c>
      <c r="I317" s="6">
        <f>SUM(D317:H317)</f>
        <v>4</v>
      </c>
    </row>
    <row r="318" spans="2:9" ht="15.75" customHeight="1" x14ac:dyDescent="0.25">
      <c r="B318" s="2" t="s">
        <v>159</v>
      </c>
      <c r="C318" s="5">
        <v>5</v>
      </c>
      <c r="D318" s="4">
        <v>2</v>
      </c>
      <c r="E318" s="4">
        <v>1</v>
      </c>
      <c r="F318" s="4">
        <v>1</v>
      </c>
      <c r="G318" s="4">
        <v>1</v>
      </c>
      <c r="H318" s="4">
        <v>0</v>
      </c>
      <c r="I318" s="6">
        <f>SUM(D318:H318)</f>
        <v>5</v>
      </c>
    </row>
    <row r="319" spans="2:9" ht="15.75" customHeight="1" x14ac:dyDescent="0.25">
      <c r="B319" s="2"/>
    </row>
    <row r="320" spans="2:9" ht="15.75" customHeight="1" x14ac:dyDescent="0.25"/>
    <row r="321" spans="2:8" ht="15.75" customHeight="1" x14ac:dyDescent="0.25">
      <c r="B321" s="8"/>
      <c r="C321" s="3"/>
      <c r="D321" s="3"/>
      <c r="E321" s="3"/>
      <c r="F321" s="3"/>
      <c r="G321" s="3"/>
      <c r="H321" s="3"/>
    </row>
    <row r="322" spans="2:8" ht="15.75" customHeight="1" x14ac:dyDescent="0.25"/>
    <row r="323" spans="2:8" ht="15.75" customHeight="1" x14ac:dyDescent="0.25">
      <c r="B323" s="7" t="s">
        <v>27</v>
      </c>
      <c r="C323" s="3">
        <f>SUM(C316:C318)</f>
        <v>15</v>
      </c>
      <c r="D323" s="3">
        <f>C323-SUM(D316:D318)</f>
        <v>11</v>
      </c>
      <c r="E323" s="3">
        <f>D323-SUM(E316:E318)</f>
        <v>8</v>
      </c>
      <c r="F323" s="3">
        <f>E323-SUM(F316:F318)</f>
        <v>5</v>
      </c>
      <c r="G323" s="3">
        <f>F323-SUM(G316:G318)</f>
        <v>2</v>
      </c>
      <c r="H323" s="3">
        <f>G323-SUM(H316:H318)</f>
        <v>0</v>
      </c>
    </row>
    <row r="324" spans="2:8" ht="15.75" customHeight="1" x14ac:dyDescent="0.25">
      <c r="B324" s="7" t="s">
        <v>28</v>
      </c>
      <c r="C324" s="3">
        <f>SUM(C316:C318)</f>
        <v>15</v>
      </c>
      <c r="D324" s="3">
        <f>C324-(SUM(C316:C318)/5)</f>
        <v>12</v>
      </c>
      <c r="E324" s="3">
        <f>D324-(SUM(D316:D318)/5)</f>
        <v>11.2</v>
      </c>
      <c r="F324" s="3">
        <f>E324-(SUM(E316:E318)/5)</f>
        <v>10.6</v>
      </c>
      <c r="G324" s="3">
        <f>F324-(SUM(F316:F318)/5)</f>
        <v>10</v>
      </c>
      <c r="H324" s="3">
        <f>G324-(SUM(G316:G318)/5)</f>
        <v>9.4</v>
      </c>
    </row>
    <row r="325" spans="2:8" ht="15.75" customHeight="1" x14ac:dyDescent="0.25"/>
    <row r="326" spans="2:8" ht="15.75" customHeight="1" x14ac:dyDescent="0.25"/>
    <row r="327" spans="2:8" ht="15.75" customHeight="1" x14ac:dyDescent="0.25"/>
    <row r="328" spans="2:8" ht="15.75" customHeight="1" x14ac:dyDescent="0.25">
      <c r="B328" s="43" t="s">
        <v>29</v>
      </c>
      <c r="C328" s="43"/>
      <c r="D328" s="43"/>
      <c r="E328" s="43"/>
      <c r="F328" s="43"/>
      <c r="G328" s="43"/>
    </row>
    <row r="329" spans="2:8" ht="15.75" customHeight="1" x14ac:dyDescent="0.25">
      <c r="B329" s="43"/>
      <c r="C329" s="43"/>
      <c r="D329" s="43"/>
      <c r="E329" s="43"/>
      <c r="F329" s="43"/>
      <c r="G329" s="43"/>
    </row>
    <row r="330" spans="2:8" ht="15.75" customHeight="1" x14ac:dyDescent="0.25">
      <c r="B330" s="43"/>
      <c r="C330" s="43"/>
      <c r="D330" s="43"/>
      <c r="E330" s="43"/>
      <c r="F330" s="43"/>
      <c r="G330" s="43"/>
    </row>
    <row r="331" spans="2:8" ht="15.75" customHeight="1" x14ac:dyDescent="0.25">
      <c r="B331" s="43"/>
      <c r="C331" s="43"/>
      <c r="D331" s="43"/>
      <c r="E331" s="43"/>
      <c r="F331" s="43"/>
      <c r="G331" s="43"/>
    </row>
    <row r="332" spans="2:8" ht="15.75" customHeight="1" x14ac:dyDescent="0.25">
      <c r="B332" s="43"/>
      <c r="C332" s="43"/>
      <c r="D332" s="43"/>
      <c r="E332" s="43"/>
      <c r="F332" s="43"/>
      <c r="G332" s="43"/>
    </row>
    <row r="333" spans="2:8" ht="15.75" customHeight="1" x14ac:dyDescent="0.25">
      <c r="B333" s="43"/>
      <c r="C333" s="43"/>
      <c r="D333" s="43"/>
      <c r="E333" s="43"/>
      <c r="F333" s="43"/>
      <c r="G333" s="43"/>
    </row>
    <row r="334" spans="2:8" ht="15.75" customHeight="1" x14ac:dyDescent="0.25">
      <c r="B334" s="43"/>
      <c r="C334" s="43"/>
      <c r="D334" s="43"/>
      <c r="E334" s="43"/>
      <c r="F334" s="43"/>
      <c r="G334" s="43"/>
    </row>
    <row r="335" spans="2:8" ht="15.75" customHeight="1" x14ac:dyDescent="0.25">
      <c r="B335" s="43"/>
      <c r="C335" s="43"/>
      <c r="D335" s="43"/>
      <c r="E335" s="43"/>
      <c r="F335" s="43"/>
      <c r="G335" s="43"/>
    </row>
    <row r="336" spans="2:8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</sheetData>
  <mergeCells count="6">
    <mergeCell ref="B16:G23"/>
    <mergeCell ref="B43:G50"/>
    <mergeCell ref="B70:G77"/>
    <mergeCell ref="B98:G105"/>
    <mergeCell ref="B303:G310"/>
    <mergeCell ref="B328:G335"/>
  </mergeCells>
  <phoneticPr fontId="4" type="noConversion"/>
  <pageMargins left="0.7" right="0.7" top="0.75" bottom="0.75" header="0" footer="0"/>
  <pageSetup orientation="landscape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sprint0</vt:lpstr>
      <vt:lpstr>Backlog</vt:lpstr>
      <vt:lpstr>sprint1</vt:lpstr>
      <vt:lpstr>sprint2</vt:lpstr>
      <vt:lpstr>sprint3</vt:lpstr>
      <vt:lpstr>sprint4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Andrès Cañola Marquez</cp:lastModifiedBy>
  <dcterms:created xsi:type="dcterms:W3CDTF">2023-06-05T13:12:31Z</dcterms:created>
  <dcterms:modified xsi:type="dcterms:W3CDTF">2026-02-05T15:34:19Z</dcterms:modified>
</cp:coreProperties>
</file>