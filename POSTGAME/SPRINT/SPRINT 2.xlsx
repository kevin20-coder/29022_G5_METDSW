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"/>
    </mc:Choice>
  </mc:AlternateContent>
  <xr:revisionPtr revIDLastSave="7" documentId="8_{FF19D5BD-4C30-4670-B629-34C59AEBF358}" xr6:coauthVersionLast="47" xr6:coauthVersionMax="47" xr10:uidLastSave="{F794C67D-BE27-4B2E-83C7-C5C9ED69F5E1}"/>
  <bookViews>
    <workbookView xWindow="-108" yWindow="-108" windowWidth="23256" windowHeight="12456" activeTab="1" xr2:uid="{3193EF65-7ED5-472E-BE24-70A7CF392A49}"/>
  </bookViews>
  <sheets>
    <sheet name="SPRINT_2" sheetId="1" r:id="rId1"/>
    <sheet name="burdonchar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E10" i="2" s="1"/>
  <c r="F10" i="2" s="1"/>
  <c r="G10" i="2" s="1"/>
  <c r="H10" i="2" s="1"/>
  <c r="I10" i="2" s="1"/>
  <c r="D9" i="2"/>
  <c r="E9" i="2" s="1"/>
  <c r="F9" i="2" s="1"/>
  <c r="G9" i="2" s="1"/>
  <c r="H9" i="2" s="1"/>
  <c r="I9" i="2" s="1"/>
  <c r="J7" i="2"/>
  <c r="J6" i="2"/>
  <c r="J5" i="2"/>
  <c r="J4" i="2"/>
</calcChain>
</file>

<file path=xl/sharedStrings.xml><?xml version="1.0" encoding="utf-8"?>
<sst xmlns="http://schemas.openxmlformats.org/spreadsheetml/2006/main" count="211" uniqueCount="124">
  <si>
    <t>ID</t>
  </si>
  <si>
    <t>Tema</t>
  </si>
  <si>
    <t>Como un..</t>
  </si>
  <si>
    <t>Necesito</t>
  </si>
  <si>
    <t>así podre...</t>
  </si>
  <si>
    <t>notas</t>
  </si>
  <si>
    <t>Prioridad</t>
  </si>
  <si>
    <t>Status</t>
  </si>
  <si>
    <t>REQ001</t>
  </si>
  <si>
    <t>Ingreso por Credenciales</t>
  </si>
  <si>
    <t>Administrador/Usuario</t>
  </si>
  <si>
    <t>Ingresar al sistema</t>
  </si>
  <si>
    <t xml:space="preserve">Iniciar sesion y distinguir el perfir del usuario </t>
  </si>
  <si>
    <t>Alta</t>
  </si>
  <si>
    <t>Terminado</t>
  </si>
  <si>
    <t>Tareas</t>
  </si>
  <si>
    <t>Asignado</t>
  </si>
  <si>
    <t>Estimado</t>
  </si>
  <si>
    <t>REQ001-1</t>
  </si>
  <si>
    <t>Establecer apartado de administrador</t>
  </si>
  <si>
    <t>K. Cañola</t>
  </si>
  <si>
    <t>REQ001-2</t>
  </si>
  <si>
    <t>Asegurar que solo las personas autorizadas puedan ingresar usando una contraseña.</t>
  </si>
  <si>
    <t>REQ001-3</t>
  </si>
  <si>
    <t>Crear una página donde se puedan gestionar los usuarios registrados.</t>
  </si>
  <si>
    <t>REQ002</t>
  </si>
  <si>
    <t>Registro de cliente</t>
  </si>
  <si>
    <t>Administrador</t>
  </si>
  <si>
    <t>Registro de nuevos clientes</t>
  </si>
  <si>
    <t>Registrar en la base de datos informacion de nuevos clientes</t>
  </si>
  <si>
    <t>REQ002-1</t>
  </si>
  <si>
    <t>Crear el formulario de datos personales del cliente.</t>
  </si>
  <si>
    <t>Habilitar la búsqueda rápida de productos mediante su nombre o código.</t>
  </si>
  <si>
    <t>E. Tasiguano</t>
  </si>
  <si>
    <t>REQ002-2</t>
  </si>
  <si>
    <t>Crear formulario de información adicional</t>
  </si>
  <si>
    <t>Facilitar la eliminación de productos por nombre o código de identificación.</t>
  </si>
  <si>
    <t>REQ002-3</t>
  </si>
  <si>
    <t>Validación de datos</t>
  </si>
  <si>
    <t>Ofrecer la opción de editar productos utilizando su nombre o código.</t>
  </si>
  <si>
    <t>REQ002-4</t>
  </si>
  <si>
    <t>Registrar cliente en base de datos</t>
  </si>
  <si>
    <t>Incorporar productos nuevos mediante nombre o código de forma eficiente.</t>
  </si>
  <si>
    <t>REQ003</t>
  </si>
  <si>
    <t>Busqueda de cliente</t>
  </si>
  <si>
    <t>Busqueda de clientes</t>
  </si>
  <si>
    <t>Encontrar más rápido información de los clientes.</t>
  </si>
  <si>
    <t>REQ003-1</t>
  </si>
  <si>
    <t>Implementar búsqueda de clientes por nombre o apellido.</t>
  </si>
  <si>
    <t>REQ003-2</t>
  </si>
  <si>
    <t>Permitir búsqueda por número de identificación o teléfono.</t>
  </si>
  <si>
    <t>REQ003-3</t>
  </si>
  <si>
    <t>Mostrar resultados detallados con acceso rápido al perfil del cliente.</t>
  </si>
  <si>
    <t>REQ004</t>
  </si>
  <si>
    <t>Modificación de cliente</t>
  </si>
  <si>
    <t>Editar clientes ingresados</t>
  </si>
  <si>
    <t>Modificar datos personales del clientes cuando sea necessario.</t>
  </si>
  <si>
    <t>REQ004-1</t>
  </si>
  <si>
    <t>Permitir buscar al cliente a modificar mediante cedula.</t>
  </si>
  <si>
    <t>M. Lugmaña</t>
  </si>
  <si>
    <t>REQ004-2</t>
  </si>
  <si>
    <t>Habilitar la edición de datos personales como nombres, dirección, email y telefono.</t>
  </si>
  <si>
    <t>REQ004-3</t>
  </si>
  <si>
    <t>Implementar validaciones para evitar duplicados o información incompleta durante la modificación.</t>
  </si>
  <si>
    <t>REQ005</t>
  </si>
  <si>
    <t>Eliminación de cliente</t>
  </si>
  <si>
    <t>Eliminación de clientes registrados</t>
  </si>
  <si>
    <t>Borrar datos de los clientes definitivamente.</t>
  </si>
  <si>
    <t>REQ005-1</t>
  </si>
  <si>
    <t>Habilitar la búsqueda de clientes por medio de cédula.</t>
  </si>
  <si>
    <t>REQ005-2</t>
  </si>
  <si>
    <t>Mostrar una vista previa del cliente seleccionado antes de confirmar su eliminación.</t>
  </si>
  <si>
    <t>REQ005-3</t>
  </si>
  <si>
    <t>Implementar un mecanismo de confirmación doble para evitar eliminaciones accidentales.</t>
  </si>
  <si>
    <t>REQ006</t>
  </si>
  <si>
    <t>Registro de producto</t>
  </si>
  <si>
    <t>Registro de nuevos productos</t>
  </si>
  <si>
    <t>Registrar productos en la base de datos con su información básica (nombre, precio, stock, categoría, descripción).</t>
  </si>
  <si>
    <t>No inciado</t>
  </si>
  <si>
    <t>REQ006-1</t>
  </si>
  <si>
    <t>Crear formulario de registro de productos (nombre, código, precio, stock).</t>
  </si>
  <si>
    <t>REQ006-2</t>
  </si>
  <si>
    <t>Validar campos obligatorios y formatos correctos.</t>
  </si>
  <si>
    <t>REQ006-3</t>
  </si>
  <si>
    <t>Guardar productos en la base de datos.</t>
  </si>
  <si>
    <t>REQ007</t>
  </si>
  <si>
    <t>Búsqueda de producto</t>
  </si>
  <si>
    <t>Búsqueda de productos</t>
  </si>
  <si>
    <t>Buscar productos de forma rápida mediante nombre o código.</t>
  </si>
  <si>
    <t>REQ007-1</t>
  </si>
  <si>
    <t>Implementar búsqueda por nombre o código de producto.</t>
  </si>
  <si>
    <t>REQ007-2</t>
  </si>
  <si>
    <t>Mostrar resultados con información básica del producto.</t>
  </si>
  <si>
    <t>REQ007-3</t>
  </si>
  <si>
    <t>Permitir acceso rápido a edición o eliminación del producto.</t>
  </si>
  <si>
    <t>REQ008</t>
  </si>
  <si>
    <t>Modificación de producto</t>
  </si>
  <si>
    <t>Edición de productos registrados</t>
  </si>
  <si>
    <t>Actualizar la información de productos existentes (precio, stock, descripción, categoría).</t>
  </si>
  <si>
    <t>REQ008-1</t>
  </si>
  <si>
    <t>Permitir seleccionar un producto desde la búsqueda.</t>
  </si>
  <si>
    <t>REQ008-2</t>
  </si>
  <si>
    <t>Editar precios, stock y descripción del producto.</t>
  </si>
  <si>
    <t>REQ008-3</t>
  </si>
  <si>
    <t>Validar y guardar cambios en la base de datos.</t>
  </si>
  <si>
    <t>REQ009</t>
  </si>
  <si>
    <t>Eliminación de producto</t>
  </si>
  <si>
    <t>Eliminación de productos registrados</t>
  </si>
  <si>
    <t>Eliminar productos de manera permanente del inventario del sistema.</t>
  </si>
  <si>
    <t>REQ009-1</t>
  </si>
  <si>
    <t>Buscar producto a eliminar por nombre o código.</t>
  </si>
  <si>
    <t>REQ009-2</t>
  </si>
  <si>
    <t>Mostrar confirmación antes de eliminar el producto.</t>
  </si>
  <si>
    <t>REQ009-3</t>
  </si>
  <si>
    <t>Eliminar definitivamente el producto de la base de datos.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</si>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</sst>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002060"/>
      <name val="Arial"/>
      <family val="2"/>
    </font>
    <font>
      <sz val="10"/>
      <color rgb="FF002060"/>
      <name val="Aptos Narrow"/>
      <family val="2"/>
      <scheme val="minor"/>
    </font>
    <font>
      <sz val="10"/>
      <color rgb="FF0070C0"/>
      <name val="Aptos Narrow"/>
      <family val="2"/>
      <scheme val="minor"/>
    </font>
    <font>
      <b/>
      <sz val="10"/>
      <color rgb="FF002060"/>
      <name val="Arial"/>
      <family val="2"/>
    </font>
    <font>
      <sz val="11"/>
      <color rgb="FF002060"/>
      <name val="Arial Narrow"/>
      <family val="2"/>
    </font>
    <font>
      <sz val="10"/>
      <color rgb="FF002060"/>
      <name val="Arial Narrow"/>
      <family val="2"/>
    </font>
    <font>
      <sz val="10"/>
      <color rgb="FF002060"/>
      <name val="Aptos Narrow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4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2" fillId="2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0" borderId="0" xfId="0" applyFont="1"/>
    <xf numFmtId="0" fontId="2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9" fillId="4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9" fillId="5" borderId="0" xfId="0" applyFont="1" applyFill="1" applyAlignment="1">
      <alignment horizontal="right"/>
    </xf>
    <xf numFmtId="0" fontId="9" fillId="6" borderId="0" xfId="0" applyFont="1" applyFill="1"/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2" defaultPivotStyle="PivotStyleLight16">
    <tableStyle name="burdonchart-style" pivot="0" count="3" xr9:uid="{EC01AE54-CEEC-473A-9CFE-68633C543F11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[1]burdonchart!$C$38:$H$38</c:f>
              <c:numCache>
                <c:formatCode>General</c:formatCode>
                <c:ptCount val="6"/>
                <c:pt idx="0">
                  <c:v>60</c:v>
                </c:pt>
                <c:pt idx="1">
                  <c:v>47</c:v>
                </c:pt>
                <c:pt idx="2">
                  <c:v>33</c:v>
                </c:pt>
                <c:pt idx="3">
                  <c:v>21</c:v>
                </c:pt>
                <c:pt idx="4">
                  <c:v>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C-41F0-83C1-411494C4ABE5}"/>
            </c:ext>
          </c:extLst>
        </c:ser>
        <c:ser>
          <c:idx val="1"/>
          <c:order val="1"/>
          <c:tx>
            <c:strRef>
              <c:f>[1]burdonchart!$B$39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[1]burdonchart!$C$39:$H$39</c:f>
              <c:numCache>
                <c:formatCode>General</c:formatCode>
                <c:ptCount val="6"/>
                <c:pt idx="0">
                  <c:v>60</c:v>
                </c:pt>
                <c:pt idx="1">
                  <c:v>48</c:v>
                </c:pt>
                <c:pt idx="2">
                  <c:v>36</c:v>
                </c:pt>
                <c:pt idx="3">
                  <c:v>24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CC-41F0-83C1-411494C4A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568779</xdr:colOff>
      <xdr:row>2</xdr:row>
      <xdr:rowOff>119742</xdr:rowOff>
    </xdr:from>
    <xdr:to>
      <xdr:col>16</xdr:col>
      <xdr:colOff>167368</xdr:colOff>
      <xdr:row>16</xdr:row>
      <xdr:rowOff>131989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5C4369-B9FC-40C6-8506-4AE3901DA7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1e79e0bd8ceb01f/Escritorio/KEVIN/UNIVERSIDAD%20ESPE/6%20SEMESTRE/PROGRAACION/G5_Backlog_V8.xlsx" TargetMode="External"/><Relationship Id="rId1" Type="http://schemas.openxmlformats.org/officeDocument/2006/relationships/externalLinkPath" Target="KEVIN/UNIVERSIDAD%20ESPE/6%20SEMESTRE/PROGRAACION/G5_Backlog_V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rint0"/>
      <sheetName val="Backlog"/>
      <sheetName val="sprint1"/>
      <sheetName val="sprint2"/>
      <sheetName val="sprint3"/>
      <sheetName val="sprint4"/>
      <sheetName val="burdonchart"/>
    </sheetNames>
    <sheetDataSet>
      <sheetData sheetId="0"/>
      <sheetData sheetId="1"/>
      <sheetData sheetId="2"/>
      <sheetData sheetId="3"/>
      <sheetData sheetId="4"/>
      <sheetData sheetId="5"/>
      <sheetData sheetId="6">
        <row r="38">
          <cell r="B38" t="str">
            <v>Horas Estimadas</v>
          </cell>
          <cell r="C38">
            <v>60</v>
          </cell>
          <cell r="D38">
            <v>47</v>
          </cell>
          <cell r="E38">
            <v>33</v>
          </cell>
          <cell r="F38">
            <v>21</v>
          </cell>
          <cell r="G38">
            <v>13</v>
          </cell>
          <cell r="H38">
            <v>0</v>
          </cell>
        </row>
        <row r="39">
          <cell r="B39" t="str">
            <v>Horas Estimadas
Restantes</v>
          </cell>
          <cell r="C39">
            <v>60</v>
          </cell>
          <cell r="D39">
            <v>48</v>
          </cell>
          <cell r="E39">
            <v>36</v>
          </cell>
          <cell r="F39">
            <v>24</v>
          </cell>
          <cell r="G39">
            <v>12</v>
          </cell>
          <cell r="H39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9112C4-D367-4558-B00C-9F6979FC8CD3}" name="Table_1369" displayName="Table_1369" ref="J4:J7" headerRowCount="0" totalsRowShown="0">
  <tableColumns count="1">
    <tableColumn id="1" xr3:uid="{9BCC51D7-5E6B-4D54-9F4D-21A5FDA7F6C6}" name="Column1">
      <calculatedColumnFormula>SUM(E4:I4)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5AFE-2365-49B1-825D-6E6EAC6F390E}">
  <dimension ref="B1:I953"/>
  <sheetViews>
    <sheetView topLeftCell="C6" zoomScale="85" zoomScaleNormal="85" workbookViewId="0">
      <selection activeCell="C46" sqref="C46"/>
    </sheetView>
  </sheetViews>
  <sheetFormatPr baseColWidth="10" defaultColWidth="12.5546875" defaultRowHeight="14.4" x14ac:dyDescent="0.3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3"/>
    <row r="2" spans="2:9" ht="15.75" customHeight="1" x14ac:dyDescent="0.3"/>
    <row r="3" spans="2:9" ht="15.6" customHeigh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s="5" customFormat="1" ht="15.75" customHeight="1" x14ac:dyDescent="0.3"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3"/>
      <c r="H4" s="2" t="s">
        <v>13</v>
      </c>
      <c r="I4" s="4" t="s">
        <v>14</v>
      </c>
    </row>
    <row r="5" spans="2:9" s="5" customFormat="1" ht="15.75" customHeight="1" x14ac:dyDescent="0.3">
      <c r="B5" s="6"/>
      <c r="C5" s="7" t="s">
        <v>15</v>
      </c>
      <c r="D5" s="6"/>
      <c r="E5" s="6"/>
      <c r="F5" s="6"/>
      <c r="G5" s="7" t="s">
        <v>16</v>
      </c>
      <c r="H5" s="6"/>
      <c r="I5" s="7" t="s">
        <v>17</v>
      </c>
    </row>
    <row r="6" spans="2:9" s="5" customFormat="1" ht="15.75" customHeight="1" x14ac:dyDescent="0.3">
      <c r="B6" s="6" t="s">
        <v>18</v>
      </c>
      <c r="C6" s="19" t="s">
        <v>19</v>
      </c>
      <c r="D6" s="20"/>
      <c r="E6" s="20"/>
      <c r="F6" s="20"/>
      <c r="G6" s="9" t="s">
        <v>20</v>
      </c>
      <c r="H6" s="6"/>
      <c r="I6" s="10">
        <v>5</v>
      </c>
    </row>
    <row r="7" spans="2:9" s="5" customFormat="1" ht="15.75" customHeight="1" x14ac:dyDescent="0.3">
      <c r="B7" s="6" t="s">
        <v>21</v>
      </c>
      <c r="C7" s="19" t="s">
        <v>22</v>
      </c>
      <c r="D7" s="20"/>
      <c r="E7" s="20"/>
      <c r="F7" s="20"/>
      <c r="G7" s="9" t="s">
        <v>20</v>
      </c>
      <c r="H7" s="6"/>
      <c r="I7" s="10">
        <v>4</v>
      </c>
    </row>
    <row r="8" spans="2:9" s="5" customFormat="1" ht="15.75" customHeight="1" x14ac:dyDescent="0.3">
      <c r="B8" s="6" t="s">
        <v>23</v>
      </c>
      <c r="C8" s="19" t="s">
        <v>24</v>
      </c>
      <c r="D8" s="20"/>
      <c r="E8" s="20"/>
      <c r="F8" s="20"/>
      <c r="G8" s="9" t="s">
        <v>20</v>
      </c>
      <c r="H8" s="6"/>
      <c r="I8" s="10">
        <v>4</v>
      </c>
    </row>
    <row r="9" spans="2:9" s="5" customFormat="1" ht="15.75" customHeight="1" x14ac:dyDescent="0.3">
      <c r="B9" s="6"/>
      <c r="C9" s="6"/>
      <c r="D9" s="8"/>
      <c r="E9" s="8"/>
      <c r="F9" s="8"/>
      <c r="G9" s="9"/>
      <c r="H9" s="6"/>
      <c r="I9" s="10"/>
    </row>
    <row r="10" spans="2:9" s="5" customFormat="1" ht="15.75" customHeight="1" x14ac:dyDescent="0.3">
      <c r="B10" s="11" t="s">
        <v>25</v>
      </c>
      <c r="C10" s="12" t="s">
        <v>26</v>
      </c>
      <c r="D10" s="11" t="s">
        <v>27</v>
      </c>
      <c r="E10" s="11" t="s">
        <v>28</v>
      </c>
      <c r="F10" s="11" t="s">
        <v>29</v>
      </c>
      <c r="G10" s="11"/>
      <c r="H10" s="11" t="s">
        <v>13</v>
      </c>
      <c r="I10" s="4" t="s">
        <v>14</v>
      </c>
    </row>
    <row r="11" spans="2:9" s="5" customFormat="1" ht="15.75" customHeight="1" x14ac:dyDescent="0.3">
      <c r="B11" s="6"/>
      <c r="C11" s="7" t="s">
        <v>15</v>
      </c>
      <c r="D11" s="6"/>
      <c r="E11" s="6"/>
      <c r="F11" s="6"/>
      <c r="G11" s="7" t="s">
        <v>16</v>
      </c>
      <c r="H11" s="6"/>
      <c r="I11" s="7" t="s">
        <v>17</v>
      </c>
    </row>
    <row r="12" spans="2:9" s="5" customFormat="1" ht="15.75" customHeight="1" x14ac:dyDescent="0.3">
      <c r="B12" s="6" t="s">
        <v>30</v>
      </c>
      <c r="C12" s="19" t="s">
        <v>31</v>
      </c>
      <c r="D12" s="19" t="s">
        <v>32</v>
      </c>
      <c r="E12" s="19" t="s">
        <v>32</v>
      </c>
      <c r="F12" s="19" t="s">
        <v>32</v>
      </c>
      <c r="G12" s="13" t="s">
        <v>33</v>
      </c>
      <c r="H12" s="6"/>
      <c r="I12" s="10">
        <v>6</v>
      </c>
    </row>
    <row r="13" spans="2:9" s="5" customFormat="1" ht="15.75" customHeight="1" x14ac:dyDescent="0.3">
      <c r="B13" s="6" t="s">
        <v>34</v>
      </c>
      <c r="C13" s="19" t="s">
        <v>35</v>
      </c>
      <c r="D13" s="19" t="s">
        <v>36</v>
      </c>
      <c r="E13" s="19" t="s">
        <v>36</v>
      </c>
      <c r="F13" s="19" t="s">
        <v>36</v>
      </c>
      <c r="G13" s="13" t="s">
        <v>33</v>
      </c>
      <c r="H13" s="6"/>
      <c r="I13" s="10">
        <v>4</v>
      </c>
    </row>
    <row r="14" spans="2:9" s="5" customFormat="1" ht="15.75" customHeight="1" x14ac:dyDescent="0.3">
      <c r="B14" s="6" t="s">
        <v>37</v>
      </c>
      <c r="C14" s="19" t="s">
        <v>38</v>
      </c>
      <c r="D14" s="19" t="s">
        <v>39</v>
      </c>
      <c r="E14" s="19" t="s">
        <v>39</v>
      </c>
      <c r="F14" s="19" t="s">
        <v>39</v>
      </c>
      <c r="G14" s="13" t="s">
        <v>33</v>
      </c>
      <c r="H14" s="6"/>
      <c r="I14" s="10">
        <v>5</v>
      </c>
    </row>
    <row r="15" spans="2:9" s="5" customFormat="1" ht="15.75" customHeight="1" x14ac:dyDescent="0.3">
      <c r="B15" s="6" t="s">
        <v>40</v>
      </c>
      <c r="C15" s="19" t="s">
        <v>41</v>
      </c>
      <c r="D15" s="19" t="s">
        <v>42</v>
      </c>
      <c r="E15" s="19" t="s">
        <v>42</v>
      </c>
      <c r="F15" s="19" t="s">
        <v>42</v>
      </c>
      <c r="G15" s="13" t="s">
        <v>33</v>
      </c>
      <c r="H15" s="8"/>
      <c r="I15" s="10">
        <v>5</v>
      </c>
    </row>
    <row r="16" spans="2:9" s="5" customFormat="1" ht="15.75" customHeight="1" x14ac:dyDescent="0.3">
      <c r="B16" s="6"/>
      <c r="C16" s="6"/>
      <c r="D16" s="6"/>
      <c r="E16" s="6"/>
      <c r="F16" s="6"/>
      <c r="G16" s="8"/>
      <c r="H16" s="8"/>
      <c r="I16" s="8"/>
    </row>
    <row r="17" spans="2:9" s="5" customFormat="1" ht="15.75" customHeight="1" x14ac:dyDescent="0.3">
      <c r="B17" s="11" t="s">
        <v>43</v>
      </c>
      <c r="C17" s="12" t="s">
        <v>44</v>
      </c>
      <c r="D17" s="11" t="s">
        <v>27</v>
      </c>
      <c r="E17" s="11" t="s">
        <v>45</v>
      </c>
      <c r="F17" s="11" t="s">
        <v>46</v>
      </c>
      <c r="G17" s="14"/>
      <c r="H17" s="11" t="s">
        <v>13</v>
      </c>
      <c r="I17" s="4" t="s">
        <v>14</v>
      </c>
    </row>
    <row r="18" spans="2:9" s="5" customFormat="1" ht="15.75" customHeight="1" x14ac:dyDescent="0.3">
      <c r="B18" s="6"/>
      <c r="C18" s="7" t="s">
        <v>15</v>
      </c>
      <c r="D18" s="6"/>
      <c r="E18" s="6"/>
      <c r="F18" s="6"/>
      <c r="G18" s="7" t="s">
        <v>16</v>
      </c>
      <c r="H18" s="6"/>
      <c r="I18" s="7" t="s">
        <v>17</v>
      </c>
    </row>
    <row r="19" spans="2:9" s="5" customFormat="1" ht="15.75" customHeight="1" x14ac:dyDescent="0.3">
      <c r="B19" s="6" t="s">
        <v>47</v>
      </c>
      <c r="C19" s="19" t="s">
        <v>48</v>
      </c>
      <c r="D19" s="19" t="s">
        <v>32</v>
      </c>
      <c r="E19" s="19" t="s">
        <v>32</v>
      </c>
      <c r="F19" s="19" t="s">
        <v>32</v>
      </c>
      <c r="G19" s="9" t="s">
        <v>20</v>
      </c>
      <c r="H19" s="6"/>
      <c r="I19" s="10">
        <v>4</v>
      </c>
    </row>
    <row r="20" spans="2:9" s="5" customFormat="1" ht="15.75" customHeight="1" x14ac:dyDescent="0.3">
      <c r="B20" s="6" t="s">
        <v>49</v>
      </c>
      <c r="C20" s="19" t="s">
        <v>50</v>
      </c>
      <c r="D20" s="19" t="s">
        <v>36</v>
      </c>
      <c r="E20" s="19" t="s">
        <v>36</v>
      </c>
      <c r="F20" s="19" t="s">
        <v>36</v>
      </c>
      <c r="G20" s="9" t="s">
        <v>20</v>
      </c>
      <c r="H20" s="6"/>
      <c r="I20" s="10">
        <v>4</v>
      </c>
    </row>
    <row r="21" spans="2:9" s="5" customFormat="1" ht="15.75" customHeight="1" x14ac:dyDescent="0.3">
      <c r="B21" s="6" t="s">
        <v>51</v>
      </c>
      <c r="C21" s="19" t="s">
        <v>52</v>
      </c>
      <c r="D21" s="19" t="s">
        <v>42</v>
      </c>
      <c r="E21" s="19" t="s">
        <v>42</v>
      </c>
      <c r="F21" s="19" t="s">
        <v>42</v>
      </c>
      <c r="G21" s="9" t="s">
        <v>20</v>
      </c>
      <c r="H21" s="6"/>
      <c r="I21" s="10">
        <v>3</v>
      </c>
    </row>
    <row r="22" spans="2:9" s="5" customFormat="1" ht="15.75" customHeight="1" x14ac:dyDescent="0.3">
      <c r="B22" s="6"/>
      <c r="C22" s="6"/>
      <c r="D22" s="6"/>
      <c r="E22" s="6"/>
      <c r="F22" s="6"/>
      <c r="G22" s="8"/>
      <c r="H22" s="8"/>
      <c r="I22" s="8"/>
    </row>
    <row r="23" spans="2:9" s="5" customFormat="1" ht="15.75" customHeight="1" x14ac:dyDescent="0.3">
      <c r="B23" s="11" t="s">
        <v>53</v>
      </c>
      <c r="C23" s="12" t="s">
        <v>54</v>
      </c>
      <c r="D23" s="11" t="s">
        <v>27</v>
      </c>
      <c r="E23" s="11" t="s">
        <v>55</v>
      </c>
      <c r="F23" s="11" t="s">
        <v>56</v>
      </c>
      <c r="G23" s="14"/>
      <c r="H23" s="11" t="s">
        <v>13</v>
      </c>
      <c r="I23" s="4" t="s">
        <v>14</v>
      </c>
    </row>
    <row r="24" spans="2:9" s="5" customFormat="1" ht="15.75" customHeight="1" x14ac:dyDescent="0.3">
      <c r="B24" s="6"/>
      <c r="C24" s="7" t="s">
        <v>15</v>
      </c>
      <c r="D24" s="6"/>
      <c r="E24" s="6"/>
      <c r="F24" s="6"/>
      <c r="G24" s="7" t="s">
        <v>16</v>
      </c>
      <c r="H24" s="6"/>
      <c r="I24" s="7" t="s">
        <v>17</v>
      </c>
    </row>
    <row r="25" spans="2:9" s="5" customFormat="1" ht="15.75" customHeight="1" x14ac:dyDescent="0.3">
      <c r="B25" s="6" t="s">
        <v>57</v>
      </c>
      <c r="C25" s="19" t="s">
        <v>58</v>
      </c>
      <c r="D25" s="19" t="s">
        <v>32</v>
      </c>
      <c r="E25" s="19" t="s">
        <v>32</v>
      </c>
      <c r="F25" s="19" t="s">
        <v>32</v>
      </c>
      <c r="G25" s="9" t="s">
        <v>59</v>
      </c>
      <c r="H25" s="6"/>
      <c r="I25" s="10">
        <v>6</v>
      </c>
    </row>
    <row r="26" spans="2:9" s="5" customFormat="1" ht="15.75" customHeight="1" x14ac:dyDescent="0.3">
      <c r="B26" s="6" t="s">
        <v>60</v>
      </c>
      <c r="C26" s="19" t="s">
        <v>61</v>
      </c>
      <c r="D26" s="19" t="s">
        <v>36</v>
      </c>
      <c r="E26" s="19" t="s">
        <v>36</v>
      </c>
      <c r="F26" s="19" t="s">
        <v>36</v>
      </c>
      <c r="G26" s="9" t="s">
        <v>59</v>
      </c>
      <c r="H26" s="6"/>
      <c r="I26" s="10">
        <v>4</v>
      </c>
    </row>
    <row r="27" spans="2:9" s="5" customFormat="1" ht="15.75" customHeight="1" x14ac:dyDescent="0.3">
      <c r="B27" s="6" t="s">
        <v>62</v>
      </c>
      <c r="C27" s="19" t="s">
        <v>63</v>
      </c>
      <c r="D27" s="19" t="s">
        <v>39</v>
      </c>
      <c r="E27" s="19" t="s">
        <v>39</v>
      </c>
      <c r="F27" s="19" t="s">
        <v>39</v>
      </c>
      <c r="G27" s="9" t="s">
        <v>59</v>
      </c>
      <c r="H27" s="6"/>
      <c r="I27" s="10">
        <v>5</v>
      </c>
    </row>
    <row r="28" spans="2:9" s="5" customFormat="1" ht="15.75" customHeight="1" x14ac:dyDescent="0.3">
      <c r="B28" s="8"/>
      <c r="C28" s="8"/>
      <c r="D28" s="8"/>
      <c r="E28" s="8"/>
      <c r="F28" s="8"/>
      <c r="G28" s="8"/>
      <c r="H28" s="8"/>
      <c r="I28" s="8"/>
    </row>
    <row r="29" spans="2:9" s="5" customFormat="1" ht="15.75" customHeight="1" x14ac:dyDescent="0.3">
      <c r="B29" s="11" t="s">
        <v>64</v>
      </c>
      <c r="C29" s="15" t="s">
        <v>65</v>
      </c>
      <c r="D29" s="11" t="s">
        <v>27</v>
      </c>
      <c r="E29" s="11" t="s">
        <v>66</v>
      </c>
      <c r="F29" s="11" t="s">
        <v>67</v>
      </c>
      <c r="G29" s="14"/>
      <c r="H29" s="11" t="s">
        <v>13</v>
      </c>
      <c r="I29" s="4" t="s">
        <v>14</v>
      </c>
    </row>
    <row r="30" spans="2:9" s="5" customFormat="1" ht="15.75" customHeight="1" x14ac:dyDescent="0.3">
      <c r="B30" s="8"/>
      <c r="C30" s="8"/>
      <c r="D30" s="8"/>
      <c r="E30" s="8"/>
      <c r="F30" s="8"/>
      <c r="G30" s="8"/>
      <c r="H30" s="8"/>
      <c r="I30" s="8"/>
    </row>
    <row r="31" spans="2:9" s="5" customFormat="1" ht="15.75" customHeight="1" x14ac:dyDescent="0.3">
      <c r="B31" s="6" t="s">
        <v>68</v>
      </c>
      <c r="C31" s="8" t="s">
        <v>69</v>
      </c>
      <c r="D31" s="8"/>
      <c r="E31" s="8"/>
      <c r="F31" s="8"/>
      <c r="G31" s="9" t="s">
        <v>59</v>
      </c>
      <c r="H31" s="8"/>
      <c r="I31" s="10">
        <v>6</v>
      </c>
    </row>
    <row r="32" spans="2:9" s="5" customFormat="1" ht="15.75" customHeight="1" x14ac:dyDescent="0.3">
      <c r="B32" s="6" t="s">
        <v>70</v>
      </c>
      <c r="C32" s="8" t="s">
        <v>71</v>
      </c>
      <c r="D32" s="8"/>
      <c r="E32" s="8"/>
      <c r="F32" s="8"/>
      <c r="G32" s="9" t="s">
        <v>59</v>
      </c>
      <c r="H32" s="8"/>
      <c r="I32" s="10">
        <v>4</v>
      </c>
    </row>
    <row r="33" spans="2:9" s="5" customFormat="1" ht="15.75" customHeight="1" x14ac:dyDescent="0.3">
      <c r="B33" s="6" t="s">
        <v>72</v>
      </c>
      <c r="C33" s="8" t="s">
        <v>73</v>
      </c>
      <c r="D33" s="8"/>
      <c r="E33" s="8"/>
      <c r="F33" s="8"/>
      <c r="G33" s="9" t="s">
        <v>59</v>
      </c>
      <c r="H33" s="8"/>
      <c r="I33" s="10">
        <v>5</v>
      </c>
    </row>
    <row r="34" spans="2:9" s="5" customFormat="1" ht="15.75" customHeight="1" x14ac:dyDescent="0.3">
      <c r="B34" s="8"/>
      <c r="C34" s="8"/>
      <c r="D34" s="8"/>
      <c r="E34" s="8"/>
      <c r="F34" s="8"/>
      <c r="G34" s="8"/>
      <c r="H34" s="8"/>
      <c r="I34" s="8"/>
    </row>
    <row r="35" spans="2:9" s="5" customFormat="1" ht="15.75" customHeight="1" x14ac:dyDescent="0.3">
      <c r="B35" s="11" t="s">
        <v>74</v>
      </c>
      <c r="C35" s="12" t="s">
        <v>75</v>
      </c>
      <c r="D35" s="4" t="s">
        <v>27</v>
      </c>
      <c r="E35" s="16" t="s">
        <v>76</v>
      </c>
      <c r="F35" s="16" t="s">
        <v>77</v>
      </c>
      <c r="G35" s="17"/>
      <c r="H35" s="4" t="s">
        <v>13</v>
      </c>
      <c r="I35" s="4" t="s">
        <v>78</v>
      </c>
    </row>
    <row r="36" spans="2:9" s="5" customFormat="1" ht="15.75" customHeight="1" x14ac:dyDescent="0.3">
      <c r="B36" s="8"/>
      <c r="C36" s="8"/>
      <c r="D36" s="8"/>
      <c r="E36" s="8"/>
      <c r="F36" s="8"/>
      <c r="G36" s="8"/>
      <c r="H36" s="8"/>
      <c r="I36" s="8"/>
    </row>
    <row r="37" spans="2:9" s="5" customFormat="1" ht="15.75" customHeight="1" x14ac:dyDescent="0.3">
      <c r="B37" s="6" t="s">
        <v>79</v>
      </c>
      <c r="C37" s="18" t="s">
        <v>80</v>
      </c>
      <c r="D37" s="8"/>
      <c r="E37" s="8"/>
      <c r="F37" s="8"/>
      <c r="G37" s="9" t="s">
        <v>59</v>
      </c>
      <c r="H37" s="8"/>
      <c r="I37" s="10">
        <v>6</v>
      </c>
    </row>
    <row r="38" spans="2:9" s="5" customFormat="1" ht="15.75" customHeight="1" x14ac:dyDescent="0.3">
      <c r="B38" s="6" t="s">
        <v>81</v>
      </c>
      <c r="C38" s="18" t="s">
        <v>82</v>
      </c>
      <c r="D38" s="8"/>
      <c r="E38" s="8"/>
      <c r="F38" s="8"/>
      <c r="G38" s="9" t="s">
        <v>59</v>
      </c>
      <c r="H38" s="8"/>
      <c r="I38" s="10">
        <v>4</v>
      </c>
    </row>
    <row r="39" spans="2:9" s="5" customFormat="1" ht="15.75" customHeight="1" x14ac:dyDescent="0.3">
      <c r="B39" s="6" t="s">
        <v>83</v>
      </c>
      <c r="C39" s="18" t="s">
        <v>84</v>
      </c>
      <c r="D39" s="8"/>
      <c r="E39" s="8"/>
      <c r="F39" s="8"/>
      <c r="G39" s="9" t="s">
        <v>59</v>
      </c>
      <c r="H39" s="8"/>
      <c r="I39" s="10">
        <v>5</v>
      </c>
    </row>
    <row r="40" spans="2:9" ht="15.75" customHeight="1" x14ac:dyDescent="0.3">
      <c r="B40" s="18"/>
      <c r="C40" s="18"/>
      <c r="D40" s="18"/>
      <c r="E40" s="18"/>
      <c r="F40" s="18"/>
      <c r="G40" s="18"/>
      <c r="H40" s="18"/>
      <c r="I40" s="18"/>
    </row>
    <row r="41" spans="2:9" s="5" customFormat="1" ht="15.75" customHeight="1" x14ac:dyDescent="0.3">
      <c r="B41" s="4" t="s">
        <v>85</v>
      </c>
      <c r="C41" s="12" t="s">
        <v>86</v>
      </c>
      <c r="D41" s="4" t="s">
        <v>27</v>
      </c>
      <c r="E41" s="16" t="s">
        <v>87</v>
      </c>
      <c r="F41" s="16" t="s">
        <v>88</v>
      </c>
      <c r="G41" s="17"/>
      <c r="H41" s="4" t="s">
        <v>13</v>
      </c>
      <c r="I41" s="4" t="s">
        <v>78</v>
      </c>
    </row>
    <row r="42" spans="2:9" s="5" customFormat="1" ht="15.75" customHeight="1" x14ac:dyDescent="0.3">
      <c r="B42" s="8"/>
      <c r="C42" s="8"/>
      <c r="D42" s="8"/>
      <c r="E42" s="8"/>
      <c r="F42" s="8"/>
      <c r="G42" s="8"/>
      <c r="H42" s="8"/>
      <c r="I42" s="8"/>
    </row>
    <row r="43" spans="2:9" s="5" customFormat="1" ht="15.75" customHeight="1" x14ac:dyDescent="0.3">
      <c r="B43" s="6" t="s">
        <v>89</v>
      </c>
      <c r="C43" s="18" t="s">
        <v>90</v>
      </c>
      <c r="D43" s="8"/>
      <c r="E43" s="8"/>
      <c r="F43" s="8"/>
      <c r="G43" s="9" t="s">
        <v>59</v>
      </c>
      <c r="H43" s="8"/>
      <c r="I43" s="10">
        <v>6</v>
      </c>
    </row>
    <row r="44" spans="2:9" s="5" customFormat="1" ht="15.75" customHeight="1" x14ac:dyDescent="0.3">
      <c r="B44" s="6" t="s">
        <v>91</v>
      </c>
      <c r="C44" s="18" t="s">
        <v>92</v>
      </c>
      <c r="D44" s="8"/>
      <c r="E44" s="8"/>
      <c r="F44" s="8"/>
      <c r="G44" s="9" t="s">
        <v>59</v>
      </c>
      <c r="H44" s="8"/>
      <c r="I44" s="10">
        <v>4</v>
      </c>
    </row>
    <row r="45" spans="2:9" s="5" customFormat="1" ht="15.75" customHeight="1" x14ac:dyDescent="0.3">
      <c r="B45" s="6" t="s">
        <v>93</v>
      </c>
      <c r="C45" s="18" t="s">
        <v>94</v>
      </c>
      <c r="D45" s="8"/>
      <c r="E45" s="8"/>
      <c r="F45" s="8"/>
      <c r="G45" s="9" t="s">
        <v>59</v>
      </c>
      <c r="H45" s="8"/>
      <c r="I45" s="10">
        <v>5</v>
      </c>
    </row>
    <row r="46" spans="2:9" ht="15.75" customHeight="1" x14ac:dyDescent="0.3">
      <c r="B46" s="18"/>
      <c r="C46" s="18"/>
      <c r="D46" s="18"/>
      <c r="E46" s="18"/>
      <c r="F46" s="18"/>
      <c r="G46" s="18"/>
      <c r="H46" s="18"/>
      <c r="I46" s="18"/>
    </row>
    <row r="47" spans="2:9" s="5" customFormat="1" ht="15.75" customHeight="1" x14ac:dyDescent="0.3">
      <c r="B47" s="4" t="s">
        <v>95</v>
      </c>
      <c r="C47" s="12" t="s">
        <v>96</v>
      </c>
      <c r="D47" s="4" t="s">
        <v>27</v>
      </c>
      <c r="E47" s="16" t="s">
        <v>97</v>
      </c>
      <c r="F47" s="16" t="s">
        <v>98</v>
      </c>
      <c r="G47" s="17"/>
      <c r="H47" s="4" t="s">
        <v>13</v>
      </c>
      <c r="I47" s="4" t="s">
        <v>78</v>
      </c>
    </row>
    <row r="48" spans="2:9" s="5" customFormat="1" ht="15.75" customHeight="1" x14ac:dyDescent="0.3">
      <c r="B48" s="8"/>
      <c r="C48" s="8"/>
      <c r="D48" s="8"/>
      <c r="E48" s="8"/>
      <c r="F48" s="8"/>
      <c r="G48" s="8"/>
      <c r="H48" s="8"/>
      <c r="I48" s="8"/>
    </row>
    <row r="49" spans="2:9" s="5" customFormat="1" ht="15.75" customHeight="1" x14ac:dyDescent="0.3">
      <c r="B49" s="6" t="s">
        <v>99</v>
      </c>
      <c r="C49" s="18" t="s">
        <v>100</v>
      </c>
      <c r="D49" s="8"/>
      <c r="E49" s="8"/>
      <c r="F49" s="8"/>
      <c r="G49" s="13" t="s">
        <v>33</v>
      </c>
      <c r="H49" s="8"/>
      <c r="I49" s="10">
        <v>6</v>
      </c>
    </row>
    <row r="50" spans="2:9" s="5" customFormat="1" ht="15.75" customHeight="1" x14ac:dyDescent="0.3">
      <c r="B50" s="6" t="s">
        <v>101</v>
      </c>
      <c r="C50" s="18" t="s">
        <v>102</v>
      </c>
      <c r="D50" s="8"/>
      <c r="E50" s="8"/>
      <c r="F50" s="8"/>
      <c r="G50" s="13" t="s">
        <v>33</v>
      </c>
      <c r="H50" s="8"/>
      <c r="I50" s="10">
        <v>4</v>
      </c>
    </row>
    <row r="51" spans="2:9" s="5" customFormat="1" ht="15.75" customHeight="1" x14ac:dyDescent="0.3">
      <c r="B51" s="6" t="s">
        <v>103</v>
      </c>
      <c r="C51" s="18" t="s">
        <v>104</v>
      </c>
      <c r="D51" s="8"/>
      <c r="E51" s="8"/>
      <c r="F51" s="8"/>
      <c r="G51" s="13" t="s">
        <v>33</v>
      </c>
      <c r="H51" s="8"/>
      <c r="I51" s="10">
        <v>5</v>
      </c>
    </row>
    <row r="52" spans="2:9" ht="15.75" customHeight="1" x14ac:dyDescent="0.3">
      <c r="B52" s="18"/>
      <c r="C52" s="18"/>
      <c r="D52" s="18"/>
      <c r="E52" s="18"/>
      <c r="F52" s="18"/>
      <c r="G52" s="18"/>
      <c r="H52" s="18"/>
      <c r="I52" s="18"/>
    </row>
    <row r="53" spans="2:9" s="5" customFormat="1" ht="15.75" customHeight="1" x14ac:dyDescent="0.3">
      <c r="B53" s="4" t="s">
        <v>105</v>
      </c>
      <c r="C53" s="12" t="s">
        <v>106</v>
      </c>
      <c r="D53" s="4" t="s">
        <v>27</v>
      </c>
      <c r="E53" s="16" t="s">
        <v>107</v>
      </c>
      <c r="F53" s="16" t="s">
        <v>108</v>
      </c>
      <c r="G53" s="17"/>
      <c r="H53" s="4" t="s">
        <v>13</v>
      </c>
      <c r="I53" s="4" t="s">
        <v>78</v>
      </c>
    </row>
    <row r="54" spans="2:9" s="5" customFormat="1" ht="15.75" customHeight="1" x14ac:dyDescent="0.3">
      <c r="B54" s="8"/>
      <c r="C54" s="8"/>
      <c r="D54" s="8"/>
      <c r="E54" s="8"/>
      <c r="F54" s="8"/>
      <c r="G54" s="8"/>
      <c r="H54" s="8"/>
      <c r="I54" s="8"/>
    </row>
    <row r="55" spans="2:9" s="5" customFormat="1" ht="15.75" customHeight="1" x14ac:dyDescent="0.3">
      <c r="B55" s="6" t="s">
        <v>109</v>
      </c>
      <c r="C55" s="18" t="s">
        <v>110</v>
      </c>
      <c r="D55" s="8"/>
      <c r="E55" s="8"/>
      <c r="F55" s="8"/>
      <c r="G55" s="13" t="s">
        <v>33</v>
      </c>
      <c r="H55" s="8"/>
      <c r="I55" s="10">
        <v>6</v>
      </c>
    </row>
    <row r="56" spans="2:9" s="5" customFormat="1" ht="15.75" customHeight="1" x14ac:dyDescent="0.3">
      <c r="B56" s="6" t="s">
        <v>111</v>
      </c>
      <c r="C56" s="18" t="s">
        <v>112</v>
      </c>
      <c r="D56" s="8"/>
      <c r="E56" s="8"/>
      <c r="F56" s="8"/>
      <c r="G56" s="13" t="s">
        <v>33</v>
      </c>
      <c r="H56" s="8"/>
      <c r="I56" s="10">
        <v>4</v>
      </c>
    </row>
    <row r="57" spans="2:9" s="5" customFormat="1" ht="15.75" customHeight="1" x14ac:dyDescent="0.3">
      <c r="B57" s="6" t="s">
        <v>113</v>
      </c>
      <c r="C57" s="18" t="s">
        <v>114</v>
      </c>
      <c r="D57" s="8"/>
      <c r="E57" s="8"/>
      <c r="F57" s="8"/>
      <c r="G57" s="13" t="s">
        <v>33</v>
      </c>
      <c r="H57" s="8"/>
      <c r="I57" s="10">
        <v>5</v>
      </c>
    </row>
    <row r="58" spans="2:9" ht="15.75" customHeight="1" x14ac:dyDescent="0.3">
      <c r="B58" s="18"/>
      <c r="C58" s="18"/>
      <c r="D58" s="18"/>
      <c r="E58" s="18"/>
      <c r="F58" s="18"/>
      <c r="G58" s="18"/>
      <c r="H58" s="18"/>
      <c r="I58" s="18"/>
    </row>
    <row r="59" spans="2:9" ht="15.75" customHeight="1" x14ac:dyDescent="0.3"/>
    <row r="60" spans="2:9" ht="15.75" customHeight="1" x14ac:dyDescent="0.3"/>
    <row r="61" spans="2:9" ht="15.75" customHeight="1" x14ac:dyDescent="0.3"/>
    <row r="62" spans="2:9" ht="15.75" customHeight="1" x14ac:dyDescent="0.3"/>
    <row r="63" spans="2:9" ht="15.75" customHeight="1" x14ac:dyDescent="0.3"/>
    <row r="64" spans="2: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</sheetData>
  <mergeCells count="13">
    <mergeCell ref="C14:F14"/>
    <mergeCell ref="C6:F6"/>
    <mergeCell ref="C7:F7"/>
    <mergeCell ref="C8:F8"/>
    <mergeCell ref="C12:F12"/>
    <mergeCell ref="C13:F13"/>
    <mergeCell ref="C27:F27"/>
    <mergeCell ref="C15:F15"/>
    <mergeCell ref="C19:F19"/>
    <mergeCell ref="C20:F20"/>
    <mergeCell ref="C21:F21"/>
    <mergeCell ref="C25:F25"/>
    <mergeCell ref="C26:F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7B4D-69D2-4FDC-B757-52C5860DA420}">
  <dimension ref="C3:J21"/>
  <sheetViews>
    <sheetView tabSelected="1" workbookViewId="0">
      <selection activeCell="C22" sqref="C22"/>
    </sheetView>
  </sheetViews>
  <sheetFormatPr baseColWidth="10" defaultRowHeight="14.4" x14ac:dyDescent="0.3"/>
  <sheetData>
    <row r="3" spans="3:10" x14ac:dyDescent="0.3">
      <c r="C3" s="21"/>
      <c r="D3" s="21" t="s">
        <v>17</v>
      </c>
      <c r="E3" s="21" t="s">
        <v>115</v>
      </c>
      <c r="F3" s="21" t="s">
        <v>116</v>
      </c>
      <c r="G3" s="21" t="s">
        <v>117</v>
      </c>
      <c r="H3" s="21" t="s">
        <v>118</v>
      </c>
      <c r="I3" s="21" t="s">
        <v>119</v>
      </c>
      <c r="J3" s="21" t="s">
        <v>120</v>
      </c>
    </row>
    <row r="4" spans="3:10" x14ac:dyDescent="0.3">
      <c r="C4" s="22" t="s">
        <v>74</v>
      </c>
      <c r="D4" s="23">
        <v>15</v>
      </c>
      <c r="E4" s="24">
        <v>3</v>
      </c>
      <c r="F4" s="24">
        <v>2</v>
      </c>
      <c r="G4" s="24">
        <v>3</v>
      </c>
      <c r="H4" s="24">
        <v>2</v>
      </c>
      <c r="I4" s="24">
        <v>5</v>
      </c>
      <c r="J4" s="25">
        <f>SUM(E4:I4)</f>
        <v>15</v>
      </c>
    </row>
    <row r="5" spans="3:10" x14ac:dyDescent="0.3">
      <c r="C5" s="22" t="s">
        <v>85</v>
      </c>
      <c r="D5" s="23">
        <v>15</v>
      </c>
      <c r="E5" s="24">
        <v>3</v>
      </c>
      <c r="F5" s="24">
        <v>4</v>
      </c>
      <c r="G5" s="24">
        <v>2</v>
      </c>
      <c r="H5" s="24">
        <v>3</v>
      </c>
      <c r="I5" s="24">
        <v>3</v>
      </c>
      <c r="J5" s="25">
        <f t="shared" ref="J5:J7" si="0">SUM(E5:I5)</f>
        <v>15</v>
      </c>
    </row>
    <row r="6" spans="3:10" x14ac:dyDescent="0.3">
      <c r="C6" s="22" t="s">
        <v>95</v>
      </c>
      <c r="D6" s="23">
        <v>15</v>
      </c>
      <c r="E6" s="24">
        <v>4</v>
      </c>
      <c r="F6" s="24">
        <v>4</v>
      </c>
      <c r="G6" s="24">
        <v>4</v>
      </c>
      <c r="H6" s="24">
        <v>1</v>
      </c>
      <c r="I6" s="24">
        <v>2</v>
      </c>
      <c r="J6" s="25">
        <f t="shared" si="0"/>
        <v>15</v>
      </c>
    </row>
    <row r="7" spans="3:10" x14ac:dyDescent="0.3">
      <c r="C7" s="22" t="s">
        <v>105</v>
      </c>
      <c r="D7" s="23">
        <v>15</v>
      </c>
      <c r="E7" s="24">
        <v>3</v>
      </c>
      <c r="F7" s="24">
        <v>4</v>
      </c>
      <c r="G7" s="24">
        <v>3</v>
      </c>
      <c r="H7" s="24">
        <v>2</v>
      </c>
      <c r="I7" s="24">
        <v>3</v>
      </c>
      <c r="J7" s="25">
        <f t="shared" si="0"/>
        <v>15</v>
      </c>
    </row>
    <row r="9" spans="3:10" x14ac:dyDescent="0.3">
      <c r="C9" s="26" t="s">
        <v>121</v>
      </c>
      <c r="D9" s="21">
        <f>SUM(D4:D7)</f>
        <v>60</v>
      </c>
      <c r="E9" s="21">
        <f>D9-SUM(E4:E7)</f>
        <v>47</v>
      </c>
      <c r="F9" s="21">
        <f>E9-SUM(F4:F7)</f>
        <v>33</v>
      </c>
      <c r="G9" s="21">
        <f>F9-SUM(G4:G7)</f>
        <v>21</v>
      </c>
      <c r="H9" s="21">
        <f>G9-SUM(H4:H7)</f>
        <v>13</v>
      </c>
      <c r="I9" s="21">
        <f>H9-SUM(I4:I7)</f>
        <v>0</v>
      </c>
    </row>
    <row r="10" spans="3:10" x14ac:dyDescent="0.3">
      <c r="C10" s="26" t="s">
        <v>122</v>
      </c>
      <c r="D10" s="21">
        <f>SUM(D4:D7)</f>
        <v>60</v>
      </c>
      <c r="E10" s="21">
        <f>D10-(SUM(D4:D7)/5)</f>
        <v>48</v>
      </c>
      <c r="F10" s="21">
        <f>E10-(SUM(D4:D7)/5)</f>
        <v>36</v>
      </c>
      <c r="G10" s="21">
        <f>F10-(SUM(D4:D7)/5)</f>
        <v>24</v>
      </c>
      <c r="H10" s="21">
        <f>G10-(SUM(D4:D7)/5)</f>
        <v>12</v>
      </c>
      <c r="I10" s="21">
        <f>H10-(SUM(D4:D7)/5)</f>
        <v>0</v>
      </c>
    </row>
    <row r="14" spans="3:10" x14ac:dyDescent="0.3">
      <c r="C14" s="27" t="s">
        <v>123</v>
      </c>
      <c r="D14" s="27"/>
      <c r="E14" s="27"/>
      <c r="F14" s="27"/>
      <c r="G14" s="27"/>
      <c r="H14" s="27"/>
    </row>
    <row r="15" spans="3:10" x14ac:dyDescent="0.3">
      <c r="C15" s="27"/>
      <c r="D15" s="27"/>
      <c r="E15" s="27"/>
      <c r="F15" s="27"/>
      <c r="G15" s="27"/>
      <c r="H15" s="27"/>
    </row>
    <row r="16" spans="3:10" x14ac:dyDescent="0.3">
      <c r="C16" s="27"/>
      <c r="D16" s="27"/>
      <c r="E16" s="27"/>
      <c r="F16" s="27"/>
      <c r="G16" s="27"/>
      <c r="H16" s="27"/>
    </row>
    <row r="17" spans="3:8" x14ac:dyDescent="0.3">
      <c r="C17" s="27"/>
      <c r="D17" s="27"/>
      <c r="E17" s="27"/>
      <c r="F17" s="27"/>
      <c r="G17" s="27"/>
      <c r="H17" s="27"/>
    </row>
    <row r="18" spans="3:8" x14ac:dyDescent="0.3">
      <c r="C18" s="27"/>
      <c r="D18" s="27"/>
      <c r="E18" s="27"/>
      <c r="F18" s="27"/>
      <c r="G18" s="27"/>
      <c r="H18" s="27"/>
    </row>
    <row r="19" spans="3:8" x14ac:dyDescent="0.3">
      <c r="C19" s="27"/>
      <c r="D19" s="27"/>
      <c r="E19" s="27"/>
      <c r="F19" s="27"/>
      <c r="G19" s="27"/>
      <c r="H19" s="27"/>
    </row>
    <row r="20" spans="3:8" x14ac:dyDescent="0.3">
      <c r="C20" s="27"/>
      <c r="D20" s="27"/>
      <c r="E20" s="27"/>
      <c r="F20" s="27"/>
      <c r="G20" s="27"/>
      <c r="H20" s="27"/>
    </row>
    <row r="21" spans="3:8" x14ac:dyDescent="0.3">
      <c r="C21" s="27"/>
      <c r="D21" s="27"/>
      <c r="E21" s="27"/>
      <c r="F21" s="27"/>
      <c r="G21" s="27"/>
      <c r="H21" s="27"/>
    </row>
  </sheetData>
  <mergeCells count="1">
    <mergeCell ref="C14:H2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SPRINT_2</vt:lpstr>
      <vt:lpstr>burdonchart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2026-02-05T14:53:21Z</dcterms:created>
  <dcterms:modified xsi:type="dcterms:W3CDTF">2026-02-05T15:11:44Z</dcterms:modified>
</cp:coreProperties>
</file>