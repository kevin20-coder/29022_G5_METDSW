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A6534D77-3C85-448D-9B46-6746AE21FC13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D54" i="5" s="1" a="1"/>
  <c r="D54" i="5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D60" i="5" s="1" a="1"/>
  <c r="D60" i="5" s="1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45" i="5" a="1"/>
  <c r="D45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95" i="5"/>
  <c r="G92" i="5"/>
  <c r="G93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46" i="5"/>
  <c r="G7" i="5"/>
  <c r="G29" i="5"/>
  <c r="G22" i="5"/>
  <c r="G58" i="5"/>
  <c r="G70" i="5"/>
  <c r="G71" i="5"/>
  <c r="G66" i="5"/>
  <c r="G24" i="5"/>
  <c r="G98" i="5"/>
  <c r="G59" i="5"/>
  <c r="G14" i="5"/>
  <c r="G30" i="5"/>
  <c r="G54" i="5"/>
  <c r="G72" i="5"/>
  <c r="G37" i="5"/>
  <c r="G86" i="5"/>
  <c r="G91" i="5"/>
  <c r="G60" i="5"/>
  <c r="G63" i="5"/>
  <c r="G45" i="5"/>
  <c r="G20" i="5"/>
  <c r="G2" i="5"/>
  <c r="G94" i="5"/>
  <c r="G64" i="5"/>
  <c r="G9" i="5"/>
  <c r="G10" i="5"/>
  <c r="G61" i="5"/>
  <c r="G87" i="5"/>
  <c r="G31" i="5"/>
  <c r="G65" i="5"/>
  <c r="G51" i="5"/>
  <c r="G97" i="5"/>
  <c r="G42" i="5"/>
  <c r="G99" i="5"/>
  <c r="G38" i="5"/>
  <c r="G53" i="5"/>
  <c r="G75" i="5"/>
  <c r="G69" i="5"/>
  <c r="G89" i="5"/>
  <c r="G47" i="5"/>
  <c r="G68" i="5"/>
  <c r="G85" i="5"/>
  <c r="G84" i="5"/>
  <c r="G35" i="5"/>
  <c r="G52" i="5"/>
  <c r="G6" i="5"/>
  <c r="G32" i="5"/>
  <c r="G77" i="5"/>
  <c r="G8" i="5"/>
  <c r="G76" i="5"/>
  <c r="G4" i="5"/>
  <c r="G40" i="5"/>
  <c r="G27" i="5"/>
  <c r="G18" i="5"/>
  <c r="G25" i="5"/>
  <c r="G56" i="5"/>
  <c r="G67" i="5"/>
  <c r="G41" i="5"/>
  <c r="G5" i="5"/>
  <c r="G82" i="5"/>
  <c r="G23" i="5"/>
  <c r="G79" i="5"/>
  <c r="G17" i="5"/>
  <c r="G8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15" i="5"/>
  <c r="N35" i="5"/>
  <c r="E11" i="5"/>
  <c r="E35" i="5"/>
  <c r="M43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N48" i="5"/>
  <c r="N17" i="5"/>
  <c r="M25" i="5"/>
  <c r="M22" i="5"/>
  <c r="M46" i="5"/>
  <c r="M57" i="5"/>
  <c r="E9" i="5"/>
  <c r="E65" i="5"/>
  <c r="N81" i="5"/>
  <c r="M29" i="5"/>
  <c r="M8" i="5"/>
  <c r="E101" i="5"/>
  <c r="N85" i="5"/>
  <c r="M76" i="5"/>
  <c r="N95" i="5"/>
  <c r="E37" i="5"/>
  <c r="M38" i="5"/>
  <c r="N80" i="5"/>
  <c r="M63" i="5"/>
  <c r="N29" i="5"/>
  <c r="N30" i="5"/>
  <c r="N87" i="5"/>
  <c r="N4" i="5"/>
  <c r="E22" i="5"/>
  <c r="M54" i="5"/>
  <c r="N77" i="5"/>
  <c r="E51" i="5"/>
  <c r="N41" i="5"/>
  <c r="E80" i="5"/>
  <c r="N11" i="5"/>
  <c r="M9" i="5"/>
  <c r="E85" i="5"/>
  <c r="E24" i="5"/>
  <c r="N76" i="5"/>
  <c r="N101" i="5"/>
  <c r="M51" i="5"/>
  <c r="N46" i="5"/>
  <c r="N36" i="5"/>
  <c r="M44" i="5"/>
  <c r="N32" i="5"/>
  <c r="M58" i="5"/>
  <c r="E94" i="5"/>
  <c r="N89" i="5"/>
  <c r="N49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M15" i="5"/>
  <c r="M74" i="5"/>
  <c r="N27" i="5"/>
  <c r="M12" i="5"/>
  <c r="E44" i="5"/>
  <c r="M32" i="5"/>
  <c r="N9" i="5"/>
  <c r="E81" i="5"/>
  <c r="E49" i="5"/>
  <c r="N67" i="5"/>
  <c r="N51" i="5"/>
  <c r="N14" i="5"/>
  <c r="N44" i="5"/>
  <c r="E66" i="5"/>
  <c r="M67" i="5"/>
  <c r="M101" i="5"/>
  <c r="N93" i="5"/>
  <c r="M30" i="5"/>
  <c r="N62" i="5"/>
  <c r="E61" i="5"/>
  <c r="N68" i="5"/>
  <c r="N52" i="5"/>
  <c r="E20" i="5"/>
  <c r="M52" i="5"/>
  <c r="M18" i="5"/>
  <c r="N38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E59" i="5"/>
  <c r="N90" i="5"/>
  <c r="N37" i="5"/>
  <c r="N26" i="5"/>
  <c r="E5" i="5"/>
  <c r="N8" i="5"/>
  <c r="M5" i="5"/>
  <c r="M92" i="5"/>
  <c r="M80" i="5"/>
  <c r="E6" i="5"/>
  <c r="N21" i="5"/>
  <c r="E60" i="5"/>
  <c r="E16" i="5"/>
  <c r="M60" i="5"/>
  <c r="N78" i="5"/>
  <c r="M50" i="5"/>
  <c r="E4" i="5"/>
  <c r="E90" i="5"/>
  <c r="M6" i="5"/>
  <c r="M13" i="5"/>
  <c r="E83" i="5"/>
  <c r="N33" i="5"/>
  <c r="N2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J97" i="5"/>
  <c r="J29" i="5"/>
  <c r="J13" i="5"/>
  <c r="L23" i="5"/>
  <c r="J68" i="5"/>
  <c r="L53" i="5"/>
  <c r="L12" i="5"/>
  <c r="J63" i="5"/>
  <c r="L64" i="5"/>
  <c r="J96" i="5"/>
  <c r="L68" i="5"/>
  <c r="L15" i="5"/>
  <c r="L65" i="5"/>
  <c r="J34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J31" i="5"/>
  <c r="L66" i="5"/>
  <c r="J45" i="5"/>
  <c r="J79" i="5"/>
  <c r="L21" i="5"/>
  <c r="J17" i="5"/>
  <c r="L78" i="5"/>
  <c r="J55" i="5"/>
  <c r="L32" i="5"/>
  <c r="J77" i="5"/>
  <c r="L101" i="5"/>
  <c r="J89" i="5"/>
  <c r="J57" i="5"/>
  <c r="J76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19" i="5"/>
  <c r="J93" i="5"/>
  <c r="J80" i="5"/>
  <c r="L25" i="5"/>
  <c r="L8" i="5"/>
  <c r="J95" i="5"/>
  <c r="L82" i="5"/>
  <c r="J8" i="5"/>
  <c r="J43" i="5"/>
  <c r="J5" i="5"/>
  <c r="L57" i="5"/>
  <c r="J7" i="5"/>
  <c r="J41" i="5"/>
  <c r="J72" i="5"/>
  <c r="J94" i="5"/>
  <c r="L24" i="5"/>
  <c r="L93" i="5"/>
  <c r="J53" i="5"/>
  <c r="J9" i="5"/>
  <c r="J35" i="5"/>
  <c r="J86" i="5"/>
  <c r="L74" i="5"/>
  <c r="L94" i="5"/>
  <c r="J44" i="5"/>
  <c r="J28" i="5"/>
  <c r="L75" i="5"/>
  <c r="L17" i="5"/>
  <c r="J27" i="5"/>
  <c r="L49" i="5"/>
  <c r="J98" i="5"/>
  <c r="J61" i="5"/>
  <c r="L44" i="5"/>
  <c r="L95" i="5"/>
  <c r="J18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L9" i="5"/>
  <c r="J52" i="5"/>
  <c r="L70" i="5"/>
  <c r="L89" i="5"/>
  <c r="J15" i="5"/>
  <c r="L99" i="5"/>
  <c r="J24" i="5"/>
  <c r="J33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46" i="5"/>
  <c r="K67" i="5"/>
  <c r="K77" i="5"/>
  <c r="K14" i="5"/>
  <c r="K96" i="5"/>
  <c r="K16" i="5"/>
  <c r="K80" i="5"/>
  <c r="K2" i="5"/>
  <c r="K50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25" i="5"/>
  <c r="K30" i="5"/>
  <c r="K32" i="5"/>
  <c r="K28" i="5"/>
  <c r="K5" i="5"/>
  <c r="K78" i="5"/>
  <c r="K100" i="5"/>
  <c r="K72" i="5"/>
  <c r="K89" i="5"/>
  <c r="K36" i="5"/>
  <c r="K88" i="5"/>
  <c r="K51" i="5"/>
  <c r="K48" i="5"/>
  <c r="K17" i="5"/>
  <c r="K12" i="5"/>
  <c r="K13" i="5"/>
  <c r="K73" i="5"/>
  <c r="K71" i="5"/>
  <c r="K85" i="5"/>
  <c r="K42" i="5"/>
  <c r="K84" i="5"/>
  <c r="K26" i="5"/>
  <c r="K74" i="5"/>
  <c r="K58" i="5"/>
  <c r="K79" i="5"/>
  <c r="K22" i="5"/>
  <c r="K97" i="5"/>
  <c r="K35" i="5"/>
  <c r="K34" i="5"/>
  <c r="K76" i="5"/>
  <c r="K23" i="5"/>
  <c r="K64" i="5"/>
  <c r="K56" i="5"/>
  <c r="K4" i="5"/>
  <c r="K91" i="5"/>
  <c r="K81" i="5"/>
  <c r="K18" i="5"/>
  <c r="K1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64" i="5"/>
  <c r="I38" i="5"/>
  <c r="I33" i="5"/>
  <c r="I61" i="5"/>
  <c r="I49" i="5"/>
  <c r="I91" i="5"/>
  <c r="I11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75" i="5"/>
  <c r="I96" i="5"/>
  <c r="I52" i="5"/>
  <c r="I37" i="5"/>
  <c r="I2" i="5"/>
  <c r="I101" i="5"/>
  <c r="I99" i="5"/>
  <c r="I66" i="5"/>
  <c r="I46" i="5"/>
  <c r="I15" i="5"/>
  <c r="I88" i="5"/>
  <c r="I7" i="5"/>
  <c r="I93" i="5"/>
  <c r="I28" i="5"/>
  <c r="I12" i="5"/>
  <c r="I45" i="5"/>
  <c r="I56" i="5"/>
  <c r="I87" i="5"/>
  <c r="I65" i="5"/>
  <c r="I30" i="5"/>
  <c r="I34" i="5"/>
  <c r="I39" i="5"/>
  <c r="I26" i="5"/>
  <c r="I13" i="5"/>
  <c r="I72" i="5"/>
  <c r="I97" i="5"/>
  <c r="I50" i="5"/>
  <c r="I43" i="5"/>
  <c r="I86" i="5"/>
  <c r="I31" i="5"/>
  <c r="I54" i="5"/>
  <c r="I40" i="5"/>
  <c r="I5" i="5"/>
  <c r="I53" i="5"/>
  <c r="I95" i="5"/>
  <c r="I21" i="5"/>
  <c r="I68" i="5"/>
  <c r="I55" i="5"/>
  <c r="I59" i="5"/>
  <c r="I58" i="5"/>
  <c r="I4" i="5"/>
  <c r="I92" i="5"/>
  <c r="I48" i="5"/>
  <c r="I42" i="5"/>
  <c r="I8" i="5"/>
  <c r="I22" i="5"/>
  <c r="I9" i="5"/>
  <c r="I10" i="5"/>
  <c r="I25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46" i="5"/>
  <c r="F62" i="5"/>
  <c r="F6" i="5"/>
  <c r="F16" i="5"/>
  <c r="F82" i="5"/>
  <c r="F67" i="5"/>
  <c r="F2" i="5"/>
  <c r="F18" i="5"/>
  <c r="F51" i="5"/>
  <c r="F14" i="5"/>
  <c r="F65" i="5"/>
  <c r="F69" i="5"/>
  <c r="F26" i="5"/>
  <c r="F71" i="5"/>
  <c r="F9" i="5"/>
  <c r="F70" i="5"/>
  <c r="F33" i="5"/>
  <c r="F24" i="5"/>
  <c r="F97" i="5"/>
  <c r="F72" i="5"/>
  <c r="F89" i="5"/>
  <c r="F34" i="5"/>
  <c r="F56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17" i="5"/>
  <c r="F79" i="5"/>
  <c r="F74" i="5"/>
  <c r="F78" i="5"/>
  <c r="F85" i="5"/>
  <c r="F58" i="5"/>
  <c r="F83" i="5"/>
  <c r="F36" i="5"/>
  <c r="F4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80" i="5"/>
  <c r="F92" i="5"/>
  <c r="F76" i="5"/>
  <c r="F42" i="5"/>
  <c r="F73" i="5"/>
  <c r="F90" i="5"/>
  <c r="F101" i="5"/>
  <c r="F19" i="5"/>
  <c r="F44" i="5"/>
  <c r="F38" i="5"/>
  <c r="F39" i="5"/>
  <c r="F54" i="5"/>
  <c r="F30" i="5"/>
  <c r="F68" i="5"/>
  <c r="F66" i="5"/>
  <c r="F95" i="5"/>
  <c r="F43" i="5"/>
  <c r="F2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7" i="5"/>
  <c r="H82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3" i="5"/>
  <c r="H22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79" i="5"/>
  <c r="H70" i="5"/>
  <c r="H52" i="5"/>
  <c r="H59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39" i="5"/>
  <c r="H10" i="5"/>
  <c r="H76" i="5"/>
  <c r="H49" i="5"/>
  <c r="H73" i="5"/>
  <c r="H45" i="5"/>
  <c r="H35" i="5"/>
  <c r="H61" i="5"/>
  <c r="H50" i="5"/>
  <c r="H69" i="5"/>
  <c r="H96" i="5"/>
  <c r="H99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<sst xmlns="http://schemas.openxmlformats.org/spreadsheetml/2006/main" count="511" uniqueCount="329">
  <si>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</si>
  <si>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</si>
  <si>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</si>
  <si>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</si>
  <si>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</si>
  <si>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</si>
  <si>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</si>
  <si>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</si>
  <si>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</si>
  <si>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</si>
  <si>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</si>
  <si>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</si>
  <si>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</si>
  <si>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</si>
  <si>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</si>
  <si>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</si>
  <si>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</si>
  <si>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</si>
  <si>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</si>
  <si>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</si>
  <si>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</si>
  <si>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</si>
  <si>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</si>
  <si>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</si>
  <si>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</si>
  <si>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</si>
  <si>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</si>
  <si>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</si>
  <si>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</si>
  <si>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</si>
  <si>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</si>
  <si>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</si>
  <si>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</si>
  <si>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</si>
  <si>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</si>
  <si>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</si>
  <si>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</si>
  <si>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</si>
  <si>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</si>
  <si>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</si>
  <si>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</si>
  <si>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</si>
  <si>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</si>
  <si>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</si>
  <si>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</si>
  <si>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</si>
  <si>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</si>
  <si>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</si>
  <si>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</si>
  <si>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</si>
  <si>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</si>
  <si>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</si>
  <si>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</si>
  <si>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</si>
  <si>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</si>
  <si>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</si>
  <si>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</si>
  <si>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</si>
  <si>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</si>
  <si>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</si>
  <si>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</si>
  <si>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</si>
  <si>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</si>
  <si>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</si>
  <si>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</si>
  <si>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</si>
  <si>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</si>
  <si>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</si>
  <si>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</si>
  <si>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</si>
  <si>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</si>
  <si>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</si>
  <si>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</si>
  <si>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</si>
  <si>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</si>
  <si>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</si>
  <si>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</si>
  <si>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</si>
  <si>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</si>
  <si>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</si>
  <si>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</si>
  <si>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</si>
  <si>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</si>
  <si>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</si>
  <si>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</si>
  <si>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</si>
  <si>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</si>
  <si>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</si>
  <si>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</si>
  <si>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</si>
  <si>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</si>
  <si>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</si>
  <si>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</si>
  <si>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</si>
  <si>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</si>
  <si>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</si>
  <si>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</si>
  <si>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</si>
  <si>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</si>
  <si>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</si>
  <si>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</si>
  <si>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</si>
  <si>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</si>
  <si>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</si>
  <si>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</si>
  <si>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</si>
  <si>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</si>
  <si>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</si>
  <si>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</si>
  <si>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</si>
  <si>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</si>
  <si>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</si>
  <si>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</si>
  <si>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</si>
  <si>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</si>
  <si>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</si>
  <si>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</si>
  <si>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</si>
  <si>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</si>
  <si>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</si>
  <si>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</si>
  <si>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</si>
  <si>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</si>
  <si>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</si>
  <si>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</si>
  <si>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</si>
  <si>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</si>
  <si>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</si>
  <si>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</si>
  <si>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</si>
  <si>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</si>
  <si>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</si>
  <si>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</si>
  <si>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</si>
  <si>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</si>
  <si>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</si>
  <si>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</si>
  <si>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</si>
  <si>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</si>
  <si>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</si>
  <si>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</si>
  <si>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</si>
  <si>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</si>
  <si>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</si>
  <si>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</si>
  <si>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</si>
  <si>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</si>
  <si>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</si>
  <si>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</si>
  <si>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</si>
  <si>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</si>
  <si>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</si>
  <si>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</si>
  <si>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</si>
  <si>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</si>
  <si>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</si>
  <si>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</si>
  <si>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</si>
  <si>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</si>
  <si>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</si>
  <si>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</si>
  <si>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</si>
  <si>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</si>
  <si>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</si>
  <si>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</si>
  <si>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</si>
  <si>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</si>
  <si>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</si>
  <si>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</si>
  <si>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</si>
  <si>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</si>
  <si>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</si>
  <si>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</si>
  <si>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</si>
  <si>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</si>
  <si>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</si>
  <si>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</si>
  <si>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</si>
  <si>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</si>
  <si>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</si>
  <si>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</si>
  <si>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</si>
  <si>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</si>
  <si>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</si>
  <si>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</si>
  <si>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</si>
  <si>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</si>
  <si>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</si>
  <si>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</si>
  <si>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</si>
  <si>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</si>
  <si>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</si>
  <si>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</si>
  <si>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</si>
  <si>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</si>
  <si>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</si>
  <si>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</si>
  <si>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</si>
  <si>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</si>
  <si>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</si>
  <si>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</si>
  <si>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</si>
  <si>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</si>
  <si>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</si>
  <si>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</si>
  <si>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</si>
  <si>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</si>
  <si>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</si>
  <si>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</si>
  <si>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</si>
  <si>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</si>
  <si>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</si>
  <si>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</si>
  <si>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</si>
  <si>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</si>
  <si>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</si>
  <si>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</si>
  <si>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</si>
  <si>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</si>
  <si>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Kevin Cañola</t>
  </si>
  <si>
    <t>Mateo Lugmaña</t>
  </si>
  <si>
    <t>Eduardo Tasiguano</t>
  </si>
  <si>
    <t>Cristhian Marcalla</t>
  </si>
  <si>
    <t>Video Entrevista 1</t>
  </si>
  <si>
    <t>Entrevista 2</t>
  </si>
  <si>
    <t>Foda V1</t>
  </si>
  <si>
    <t>Lista de interesados V1</t>
  </si>
  <si>
    <t>Preguntas de entrevista1_V1</t>
  </si>
  <si>
    <t>Perfil del Proyecto_V1</t>
  </si>
  <si>
    <t>Lista de interesados V2</t>
  </si>
  <si>
    <t>Preguntas de entrevista1_ V2</t>
  </si>
  <si>
    <t>MP3 Entrevista V1</t>
  </si>
  <si>
    <t>Perfil del Proyecto_V2</t>
  </si>
  <si>
    <t>Matriz de Marco de Trabajo V1</t>
  </si>
  <si>
    <t>Matriz de Marco de Trabajo V2</t>
  </si>
  <si>
    <t>Historia de usuario V1</t>
  </si>
  <si>
    <t>MP3 Entrevista V2</t>
  </si>
  <si>
    <t>Preguntas de entrevista2_ V1</t>
  </si>
  <si>
    <t>Preguntas de entrevista2_ V2</t>
  </si>
  <si>
    <t>Revision Perfil PROYECTO_V2</t>
  </si>
  <si>
    <t>Perfil del Proyecto_V3</t>
  </si>
  <si>
    <t>Matriz de Marco de Trabajo V3</t>
  </si>
  <si>
    <t>Matriz de Marco de Trabajo V4</t>
  </si>
  <si>
    <t>Matriz de Marco de Trabajo V5</t>
  </si>
  <si>
    <t>Backlog V1</t>
  </si>
  <si>
    <t>Matriz de Marco de Trabajo V6</t>
  </si>
  <si>
    <t>Backlog V2</t>
  </si>
  <si>
    <t>Matriz de Marco de Trabajo V7</t>
  </si>
  <si>
    <t>Backlog V3</t>
  </si>
  <si>
    <t>Matriz de Marco de Trabajo V8</t>
  </si>
  <si>
    <t>Video Matriz de Usuario</t>
  </si>
  <si>
    <t>Matriz de Marco de Trabajo V9</t>
  </si>
  <si>
    <t>Caja Negra V1</t>
  </si>
  <si>
    <t>Caja Blanca V1</t>
  </si>
  <si>
    <t>REF. 1. Ingreso Credenciales</t>
  </si>
  <si>
    <t>REF. 2. Registro Clientes</t>
  </si>
  <si>
    <t>Caja Negra V2</t>
  </si>
  <si>
    <t>REF. 3. Busqueda de Clientes</t>
  </si>
  <si>
    <t>REF. 4. Modificación de Clientes</t>
  </si>
  <si>
    <t>REF. 5. Eliminación de Clientes</t>
  </si>
  <si>
    <t>Exposición Sprint 1</t>
  </si>
  <si>
    <t>Matriz de Marco de Trabajo V10</t>
  </si>
  <si>
    <t>Matriz de Marco de Trabajo V11</t>
  </si>
  <si>
    <t>REF. 6. Registro de Productos</t>
  </si>
  <si>
    <t>REF. 7. Busqueda de Productos</t>
  </si>
  <si>
    <t>REF. 8. Modificación de Productos</t>
  </si>
  <si>
    <t>REF. 9. Eliminación de Productos</t>
  </si>
  <si>
    <t>REF. 10. Proformas de Cotización</t>
  </si>
  <si>
    <t>REF. 11. Historial de Profromas</t>
  </si>
  <si>
    <t>REF. 12. Envio de Proformas por correo</t>
  </si>
  <si>
    <t>REF. 13. Envio de Catalogo</t>
  </si>
  <si>
    <t>Manual de Usuario</t>
  </si>
  <si>
    <t>Kanban V1</t>
  </si>
  <si>
    <t>Kanban V2</t>
  </si>
  <si>
    <t xml:space="preserve">Cristian Marcalla </t>
  </si>
  <si>
    <t>Grupo 5</t>
  </si>
  <si>
    <t>Esteban Lugmaña</t>
  </si>
  <si>
    <t>Registro inicial de personas y roles involucrados en el proyecto</t>
  </si>
  <si>
    <t>Primera versión de preguntas para recolectar requisitos</t>
  </si>
  <si>
    <t>Descripción general inicial del proyecto</t>
  </si>
  <si>
    <t>Versión actualizada de los interesados del proyecto</t>
  </si>
  <si>
    <t>Análisis FODA para identificar fortalezas y riesgos</t>
  </si>
  <si>
    <t>Segunda versión de la primera entrevista</t>
  </si>
  <si>
    <t>Grabación de la primera entrevista</t>
  </si>
  <si>
    <t>Audio de la primera entrevista</t>
  </si>
  <si>
    <t>Actualización del perfil del proyecto</t>
  </si>
  <si>
    <t>Primera estructura del marco de trabajo</t>
  </si>
  <si>
    <t>Ajustes iniciales al marco de trabajo</t>
  </si>
  <si>
    <t>Primer conjunto de historias de usuario</t>
  </si>
  <si>
    <t>Segunda grabación de audio de entrevistas</t>
  </si>
  <si>
    <t>Primera versión de la segunda entrevista</t>
  </si>
  <si>
    <t>Versión mejorada de la segunda entrevista</t>
  </si>
  <si>
    <t>Corrección y validación del perfil del proyecto</t>
  </si>
  <si>
    <t>Versión final del perfil del proyecto</t>
  </si>
  <si>
    <t>Segunda entrevista realizada</t>
  </si>
  <si>
    <t>Refinamiento del marco de trabajo</t>
  </si>
  <si>
    <t>Ajustes adicionales al marco de trabajo</t>
  </si>
  <si>
    <t>Versión optimizada del marco de trabajo</t>
  </si>
  <si>
    <t>Lista inicial de tareas y funcionalidades</t>
  </si>
  <si>
    <t>Actualización del marco según el backlog</t>
  </si>
  <si>
    <t>Backlog actualizado con prioridades</t>
  </si>
  <si>
    <t>Ajustes tras revisión del backlog</t>
  </si>
  <si>
    <t>Versión final del backlog</t>
  </si>
  <si>
    <t>Marco alineado al backlog final</t>
  </si>
  <si>
    <t>Video explicativo de la matriz de usuarios</t>
  </si>
  <si>
    <t>Copia del backlog final para control de versiones</t>
  </si>
  <si>
    <t>Nueva revisión del marco de trabajo</t>
  </si>
  <si>
    <t>Primera versión de pruebas de caja negra</t>
  </si>
  <si>
    <t>Primera versión de pruebas de caja blanca</t>
  </si>
  <si>
    <t>Requisito funcional de inicio de sesión</t>
  </si>
  <si>
    <t>Requisito funcional para registrar clientes</t>
  </si>
  <si>
    <t>Actualización de pruebas de caja negra</t>
  </si>
  <si>
    <t>Requisito funcional para buscar clientes</t>
  </si>
  <si>
    <t>Requisito funcional para modificar clientes</t>
  </si>
  <si>
    <t>Requisito funcional para eliminar clientes</t>
  </si>
  <si>
    <t>Presentación de avances del Sprint 1</t>
  </si>
  <si>
    <t>Revisión posterior al Sprint 1</t>
  </si>
  <si>
    <t>Versión mejorada del marco de trabajo</t>
  </si>
  <si>
    <t>Requisito funcional para registrar productos</t>
  </si>
  <si>
    <t>Requisito funcional para buscar productos</t>
  </si>
  <si>
    <t>Requisito funcional para modificar productos</t>
  </si>
  <si>
    <t>Requisito funcional para eliminar productos</t>
  </si>
  <si>
    <t>Requisito para generar proformas</t>
  </si>
  <si>
    <t>Requisito para consultar historial de proformas</t>
  </si>
  <si>
    <t>Funcionalidad para enviar proformas por correo</t>
  </si>
  <si>
    <t>Funcionalidad para enviar catálogo por correo</t>
  </si>
  <si>
    <t>Guía de uso del sistema</t>
  </si>
  <si>
    <t>Primera versión del tablero Kanban</t>
  </si>
  <si>
    <t>Versión actualizada del tablero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</si>
</sst>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8" fillId="0" borderId="0" applyFill="0" applyBorder="0">
      <alignment horizontal="right" vertical="center"/>
    </xf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D871D661-968E-4646-8B42-518946A9CE8A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R1" zoomScale="110" zoomScaleNormal="110" workbookViewId="0">
      <pane ySplit="4" topLeftCell="A5" activePane="bottomLeft" state="frozen"/>
      <selection pane="bottomLeft" activeCell="AG49" sqref="AG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4" t="str">
        <f>Configura!$B$2</f>
        <v xml:space="preserve">                Tablero KANBAN v3 ©️            </v>
      </c>
      <c r="C2" s="114"/>
      <c r="D2" s="114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53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3" t="str" cm="1">
        <f t="array" aca="1" ref="C4" ca="1">IFERROR(INDEX(Configura!$B$9:$B$18,B4)&amp;" ("&amp;SUMIF(misEstados,B4,misFiltros)&amp;" de "&amp;SUM(misFiltros)&amp;")","")</f>
        <v>POR HACER (2 de 53)</v>
      </c>
      <c r="D4" s="113"/>
      <c r="E4" s="113"/>
      <c r="F4" s="9" t="s">
        <v>0</v>
      </c>
      <c r="G4" s="25">
        <f>B4+1</f>
        <v>2</v>
      </c>
      <c r="H4" s="113" t="str" cm="1">
        <f t="array" aca="1" ref="H4" ca="1">IFERROR(INDEX(Configura!$B$9:$B$18,G4)&amp;" ("&amp;SUMIF(misEstados,G4,misFiltros)&amp;" de "&amp;SUM(misFiltros)&amp;")","")</f>
        <v>EN PROGRESO (6 de 53)</v>
      </c>
      <c r="I4" s="113"/>
      <c r="J4" s="113"/>
      <c r="K4" s="9" t="s">
        <v>0</v>
      </c>
      <c r="L4" s="25">
        <f>G4+1</f>
        <v>3</v>
      </c>
      <c r="M4" s="113" t="str" cm="1">
        <f t="array" aca="1" ref="M4" ca="1">IFERROR(INDEX(Configura!$B$9:$B$18,L4)&amp;" ("&amp;SUMIF(misEstados,L4,misFiltros)&amp;" de "&amp;SUM(misFiltros)&amp;")","")</f>
        <v>EN ESPERA (3 de 53)</v>
      </c>
      <c r="N4" s="113"/>
      <c r="O4" s="113"/>
      <c r="P4" s="9" t="s">
        <v>0</v>
      </c>
      <c r="Q4" s="25">
        <f>L4+1</f>
        <v>4</v>
      </c>
      <c r="R4" s="113" t="str" cm="1">
        <f t="array" aca="1" ref="R4" ca="1">IFERROR(INDEX(Configura!$B$9:$B$18,Q4)&amp;" ("&amp;SUMIF(misEstados,Q4,misFiltros)&amp;" de "&amp;SUM(misFiltros)&amp;")","")</f>
        <v>COMPLETADO (42 de 53)</v>
      </c>
      <c r="S4" s="113"/>
      <c r="T4" s="113"/>
      <c r="U4" s="9" t="s">
        <v>0</v>
      </c>
      <c r="V4" s="25">
        <f>Q4+1</f>
        <v>5</v>
      </c>
      <c r="W4" s="113" t="str" cm="1">
        <f t="array" aca="1" ref="W4" ca="1">IFERROR(INDEX(Configura!$B$9:$B$18,V4)&amp;" ("&amp;SUMIF(misEstados,V4,misFiltros)&amp;" de "&amp;SUM(misFiltros)&amp;")","")</f>
        <v>ARCHIVADO (0 de 53)</v>
      </c>
      <c r="X4" s="113"/>
      <c r="Y4" s="113"/>
      <c r="Z4" s="10" t="s">
        <v>0</v>
      </c>
      <c r="AA4" s="25">
        <f>V4+1</f>
        <v>6</v>
      </c>
      <c r="AB4" s="113" t="str" cm="1">
        <f t="array" aca="1" ref="AB4" ca="1">IFERROR(INDEX(Configura!$B$9:$B$18,AA4)&amp;" ("&amp;SUMIF(misEstados,AA4,misFiltros)&amp;" de "&amp;SUM(misFiltros)&amp;")","")</f>
        <v>POR HACER (0 de 53)</v>
      </c>
      <c r="AC4" s="113"/>
      <c r="AD4" s="113"/>
      <c r="AE4" s="10" t="s">
        <v>0</v>
      </c>
      <c r="AF4" s="25">
        <f>AA4+1</f>
        <v>7</v>
      </c>
      <c r="AG4" s="113" t="str" cm="1">
        <f t="array" aca="1" ref="AG4" ca="1">IFERROR(INDEX(Configura!$B$9:$B$18,AF4)&amp;" ("&amp;SUMIF(misEstados,AF4,misFiltros)&amp;" de "&amp;SUM(misFiltros)&amp;")","")</f>
        <v>EN PROGRESO (0 de 53)</v>
      </c>
      <c r="AH4" s="113"/>
      <c r="AI4" s="113"/>
      <c r="AJ4" s="10" t="s">
        <v>0</v>
      </c>
      <c r="AK4" s="25">
        <f>AF4+1</f>
        <v>8</v>
      </c>
      <c r="AL4" s="113" t="str" cm="1">
        <f t="array" aca="1" ref="AL4" ca="1">IFERROR(INDEX(Configura!$B$9:$B$18,AK4)&amp;" ("&amp;SUMIF(misEstados,AK4,misFiltros)&amp;" de "&amp;SUM(misFiltros)&amp;")","")</f>
        <v xml:space="preserve"> (0 de 53)</v>
      </c>
      <c r="AM4" s="113"/>
      <c r="AN4" s="113"/>
      <c r="AO4" s="10" t="s">
        <v>0</v>
      </c>
      <c r="AP4" s="25">
        <f>AK4+1</f>
        <v>9</v>
      </c>
      <c r="AQ4" s="113" t="str" cm="1">
        <f t="array" aca="1" ref="AQ4" ca="1">IFERROR(INDEX(Configura!$B$9:$B$18,AP4)&amp;" ("&amp;SUMIF(misEstados,AP4,misFiltros)&amp;" de "&amp;SUM(misFiltros)&amp;")","")</f>
        <v xml:space="preserve"> (0 de 53)</v>
      </c>
      <c r="AR4" s="113"/>
      <c r="AS4" s="113"/>
      <c r="AT4" s="10" t="s">
        <v>0</v>
      </c>
      <c r="AU4" s="25">
        <f>AP4+1</f>
        <v>10</v>
      </c>
      <c r="AV4" s="113" t="str" cm="1">
        <f t="array" aca="1" ref="AV4" ca="1">IFERROR(INDEX(Configura!$B$9:$B$18,AU4)&amp;" ("&amp;SUMIF(misEstados,AU4,misFiltros)&amp;" de "&amp;SUM(misFiltros)&amp;")","")</f>
        <v xml:space="preserve"> (0 de 53)</v>
      </c>
      <c r="AW4" s="113"/>
      <c r="AX4" s="113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49:</v>
      </c>
      <c r="D6" s="11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REF. 13. Envio de Catalogo</v>
      </c>
      <c r="E6" s="111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52:</v>
      </c>
      <c r="I6" s="11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Kanban V2</v>
      </c>
      <c r="J6" s="111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50:</v>
      </c>
      <c r="N6" s="11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Manual de Usuario</v>
      </c>
      <c r="O6" s="111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1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1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1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1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1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1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1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1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Funcionalidad para enviar catálogo por correo</v>
      </c>
      <c r="E7" s="111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1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Versión actualizada del tablero Kanban</v>
      </c>
      <c r="J7" s="111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Guía de uso del sistema</v>
      </c>
      <c r="O7" s="111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1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1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1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1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1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1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1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1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1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46044</v>
      </c>
      <c r="E8" s="111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1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46037</v>
      </c>
      <c r="J8" s="111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1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46045</v>
      </c>
      <c r="O8" s="111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1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1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1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1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1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1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1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1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1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46050</v>
      </c>
      <c r="E9" s="111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1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46038</v>
      </c>
      <c r="J9" s="111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1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46046</v>
      </c>
      <c r="O9" s="111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1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1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1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1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1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1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1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1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1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46050</v>
      </c>
      <c r="E10" s="111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1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46038</v>
      </c>
      <c r="J10" s="111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1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46046</v>
      </c>
      <c r="O10" s="111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1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1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1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1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1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1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1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1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7 días</v>
      </c>
      <c r="E11" s="111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11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2 días</v>
      </c>
      <c r="O11" s="111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1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1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1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1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1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1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1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1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1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1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1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1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1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1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1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1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1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Kevin Cañola</v>
      </c>
      <c r="E13" s="111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Grupo 5</v>
      </c>
      <c r="J13" s="111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Kevin Cañola</v>
      </c>
      <c r="O13" s="111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1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1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1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1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1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1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1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1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1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1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1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1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1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1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1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1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1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1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48:</v>
      </c>
      <c r="D15" s="11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REF. 12. Envio de Proformas por correo</v>
      </c>
      <c r="E15" s="111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45:</v>
      </c>
      <c r="I15" s="11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REF. 9. Eliminación de Productos</v>
      </c>
      <c r="J15" s="111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47:</v>
      </c>
      <c r="N15" s="11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REF. 11. Historial de Profromas</v>
      </c>
      <c r="O15" s="111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51:</v>
      </c>
      <c r="S15" s="11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Kanban V1</v>
      </c>
      <c r="T15" s="111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1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1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1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1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1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1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Funcionalidad para enviar proformas por correo</v>
      </c>
      <c r="E16" s="111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1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Requisito funcional para eliminar productos</v>
      </c>
      <c r="J16" s="111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1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Requisito para consultar historial de proformas</v>
      </c>
      <c r="O16" s="111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Primera versión del tablero Kanban</v>
      </c>
      <c r="T16" s="111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1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1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1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1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1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1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1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46044</v>
      </c>
      <c r="E17" s="111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1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46029</v>
      </c>
      <c r="J17" s="111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11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46030</v>
      </c>
      <c r="O17" s="111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46034</v>
      </c>
      <c r="T17" s="111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1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1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1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1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1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1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1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46050</v>
      </c>
      <c r="E18" s="111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1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46036</v>
      </c>
      <c r="J18" s="111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11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46043</v>
      </c>
      <c r="O18" s="111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46035</v>
      </c>
      <c r="T18" s="111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1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1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1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1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1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1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1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46050</v>
      </c>
      <c r="E19" s="111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1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46036</v>
      </c>
      <c r="J19" s="111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11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46043</v>
      </c>
      <c r="O19" s="111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46035</v>
      </c>
      <c r="T19" s="111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1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1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1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1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1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1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7 días</v>
      </c>
      <c r="E20" s="111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8 días</v>
      </c>
      <c r="J20" s="111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1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>14 días</v>
      </c>
      <c r="O20" s="111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1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1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1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1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1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1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1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1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1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1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>0 días</v>
      </c>
      <c r="O21" s="111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1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1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1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1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1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1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1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Kevin Cañola</v>
      </c>
      <c r="E22" s="111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Esteban Lugmaña</v>
      </c>
      <c r="J22" s="111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1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 xml:space="preserve">Cristian Marcalla </v>
      </c>
      <c r="O22" s="111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Grupo 5</v>
      </c>
      <c r="T22" s="111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1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1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1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1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1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1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1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1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1" t="e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>#VALUE!</v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1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1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1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1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1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1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1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1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44:</v>
      </c>
      <c r="I24" s="11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REF. 8. Modificación de Productos</v>
      </c>
      <c r="J24" s="111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>Tarea 46:</v>
      </c>
      <c r="N24" s="11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>REF. 10. Proformas de Cotización</v>
      </c>
      <c r="O24" s="111" t="e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>#VALUE!</v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41:</v>
      </c>
      <c r="S24" s="11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Matriz de Marco de Trabajo V11</v>
      </c>
      <c r="T24" s="111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1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1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1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1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1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1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1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1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Requisito funcional para modificar productos</v>
      </c>
      <c r="J25" s="111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>Descripción:</v>
      </c>
      <c r="N25" s="11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>Requisito para generar proformas</v>
      </c>
      <c r="O25" s="111" t="e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>#VALUE!</v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Versión mejorada del marco de trabajo</v>
      </c>
      <c r="T25" s="111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1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1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1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1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1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1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1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1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46029</v>
      </c>
      <c r="J26" s="111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>Inicio:</v>
      </c>
      <c r="N26" s="111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>46030</v>
      </c>
      <c r="O26" s="111" t="e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>#VALUE!</v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46025</v>
      </c>
      <c r="T26" s="111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1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1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1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1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1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1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1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1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46036</v>
      </c>
      <c r="J27" s="111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>Previsto:</v>
      </c>
      <c r="N27" s="111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>46043</v>
      </c>
      <c r="O27" s="111" t="e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>#VALUE!</v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46027</v>
      </c>
      <c r="T27" s="111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1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1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1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1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1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1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1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1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46036</v>
      </c>
      <c r="J28" s="111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>Final:</v>
      </c>
      <c r="N28" s="111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>46043</v>
      </c>
      <c r="O28" s="111" t="e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>#VALUE!</v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46027</v>
      </c>
      <c r="T28" s="111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1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1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1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1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1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1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1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8 días</v>
      </c>
      <c r="J29" s="111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>Duración:</v>
      </c>
      <c r="N29" s="11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>14 días</v>
      </c>
      <c r="O29" s="111" t="e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>#VALUE!</v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1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1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1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1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1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1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1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1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1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>Retraso:</v>
      </c>
      <c r="N30" s="11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>0 días</v>
      </c>
      <c r="O30" s="111" t="e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>#VALUE!</v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1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1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1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1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1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1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1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1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Esteban Lugmaña</v>
      </c>
      <c r="J31" s="111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>Asignado:</v>
      </c>
      <c r="N31" s="11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 xml:space="preserve">Cristian Marcalla </v>
      </c>
      <c r="O31" s="111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 xml:space="preserve">Cristian Marcalla </v>
      </c>
      <c r="T31" s="111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1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1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1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1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1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1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1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1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1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1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1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1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1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1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1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1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1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43:</v>
      </c>
      <c r="I33" s="11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REF. 7. Busqueda de Productos</v>
      </c>
      <c r="J33" s="111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1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40:</v>
      </c>
      <c r="S33" s="11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Matriz de Marco de Trabajo V10</v>
      </c>
      <c r="T33" s="111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1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1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1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1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1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1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1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1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Requisito funcional para buscar productos</v>
      </c>
      <c r="J34" s="111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1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Revisión posterior al Sprint 1</v>
      </c>
      <c r="T34" s="111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1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1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1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1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1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1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1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1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46029</v>
      </c>
      <c r="J35" s="111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1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46374</v>
      </c>
      <c r="T35" s="111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1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1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1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1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1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1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1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1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46036</v>
      </c>
      <c r="J36" s="111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1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46377</v>
      </c>
      <c r="T36" s="111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1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1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1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1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1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1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1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1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46036</v>
      </c>
      <c r="J37" s="111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1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46377</v>
      </c>
      <c r="T37" s="111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1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1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1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1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1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1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1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8 días</v>
      </c>
      <c r="J38" s="111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1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11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1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1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1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1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1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1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1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1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1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1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1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1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1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1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1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1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1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Eduardo Tasiguano</v>
      </c>
      <c r="J40" s="111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1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Kevin Cañola</v>
      </c>
      <c r="T40" s="111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1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1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1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1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1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1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1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1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1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1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1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1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1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1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1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1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1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42:</v>
      </c>
      <c r="I42" s="11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REF. 6. Registro de Productos</v>
      </c>
      <c r="J42" s="111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1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39:</v>
      </c>
      <c r="S42" s="11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Exposición Sprint 1</v>
      </c>
      <c r="T42" s="111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1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1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1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1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1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1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1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1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Requisito funcional para registrar productos</v>
      </c>
      <c r="J43" s="111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1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Presentación de avances del Sprint 1</v>
      </c>
      <c r="T43" s="111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1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1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1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1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1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1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1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1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46029</v>
      </c>
      <c r="J44" s="111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1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46368</v>
      </c>
      <c r="T44" s="111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1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1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1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1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1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1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1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1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46036</v>
      </c>
      <c r="J45" s="111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1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46368</v>
      </c>
      <c r="T45" s="111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1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1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1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1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1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1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1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1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46036</v>
      </c>
      <c r="J46" s="111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1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46368</v>
      </c>
      <c r="T46" s="111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1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1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1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1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1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1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1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8 días</v>
      </c>
      <c r="J47" s="111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1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1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1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1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1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1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1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1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1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1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1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1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1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1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1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1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1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1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1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Eduardo Tasiguano</v>
      </c>
      <c r="J49" s="111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1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Grupo 5</v>
      </c>
      <c r="T49" s="111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1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1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1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1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1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1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1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1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1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1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1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1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1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1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1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1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1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8:</v>
      </c>
      <c r="I51" s="11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MP3 Entrevista V1</v>
      </c>
      <c r="J51" s="111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1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38:</v>
      </c>
      <c r="S51" s="11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REF. 5. Eliminación de Clientes</v>
      </c>
      <c r="T51" s="111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1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1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1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1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1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1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1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1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Audio de la primera entrevista</v>
      </c>
      <c r="J52" s="111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1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Requisito funcional para eliminar clientes</v>
      </c>
      <c r="T52" s="111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1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1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1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1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1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1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1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1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45954</v>
      </c>
      <c r="J53" s="111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1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46361</v>
      </c>
      <c r="T53" s="111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1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1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1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1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1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1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1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1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45955</v>
      </c>
      <c r="J54" s="111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1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46368</v>
      </c>
      <c r="T54" s="111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1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1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1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1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1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1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1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1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45955</v>
      </c>
      <c r="J55" s="111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1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46368</v>
      </c>
      <c r="T55" s="111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1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1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1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1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1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1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1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2 días</v>
      </c>
      <c r="J56" s="111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1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1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1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1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1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1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1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1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1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1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1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1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1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1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1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1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1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1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1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Esteban Lugmaña</v>
      </c>
      <c r="J58" s="111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1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Esteban Lugmaña</v>
      </c>
      <c r="T58" s="111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1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1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1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1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1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1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1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1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1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1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1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1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1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1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1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1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1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1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1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37:</v>
      </c>
      <c r="S60" s="11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REF. 4. Modificación de Clientes</v>
      </c>
      <c r="T60" s="111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1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1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1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1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1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1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1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1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1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1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Requisito funcional para modificar clientes</v>
      </c>
      <c r="T61" s="111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1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1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1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1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1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1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1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1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1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1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46361</v>
      </c>
      <c r="T62" s="111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1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1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1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1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1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1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1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1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1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1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46368</v>
      </c>
      <c r="T63" s="111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1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1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1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1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1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1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1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1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1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1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46368</v>
      </c>
      <c r="T64" s="111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1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1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1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1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1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1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1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1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1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1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1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1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1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1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1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1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1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1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1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1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1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1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1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1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1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1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1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1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1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Esteban Lugmaña</v>
      </c>
      <c r="T67" s="111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1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1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1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1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1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1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1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1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1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1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1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1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1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1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1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1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1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1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1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36:</v>
      </c>
      <c r="S69" s="11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REF. 3. Busqueda de Clientes</v>
      </c>
      <c r="T69" s="111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1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1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1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1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1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1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1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1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1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Requisito funcional para buscar clientes</v>
      </c>
      <c r="T70" s="111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1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1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1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1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1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1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1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1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1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1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46361</v>
      </c>
      <c r="T71" s="111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1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1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1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1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1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1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1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1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1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1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46368</v>
      </c>
      <c r="T72" s="111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1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1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1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1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1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1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1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1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1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1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46368</v>
      </c>
      <c r="T73" s="111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1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1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1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1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1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1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1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1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1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1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1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1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1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1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1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1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1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1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1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1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1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1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1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1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1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1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1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1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1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Kevin Cañola</v>
      </c>
      <c r="T76" s="111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1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1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1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1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1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1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1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1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1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1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1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1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1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1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1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1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1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1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1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35:</v>
      </c>
      <c r="S78" s="11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Caja Negra V2</v>
      </c>
      <c r="T78" s="111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1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1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1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1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1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1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1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1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1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Actualización de pruebas de caja negra</v>
      </c>
      <c r="T79" s="111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1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1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1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1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1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1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1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1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1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1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46001</v>
      </c>
      <c r="T80" s="111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1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1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1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1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1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1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1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1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1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1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46002</v>
      </c>
      <c r="T81" s="111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1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1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1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1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1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1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1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1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1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1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46002</v>
      </c>
      <c r="T82" s="111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1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1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1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1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1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1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1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1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1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1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1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1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1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1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1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1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1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1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1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1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1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1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1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1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1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1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1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1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1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Kevin Cañola</v>
      </c>
      <c r="T85" s="111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1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1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1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1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1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1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1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1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1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1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1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1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1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1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1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1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1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1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1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34:</v>
      </c>
      <c r="S87" s="11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REF. 2. Registro Clientes</v>
      </c>
      <c r="T87" s="111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1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1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1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1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1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1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1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1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1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Requisito funcional para registrar clientes</v>
      </c>
      <c r="T88" s="111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1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1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1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1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1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1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1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1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1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1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45994</v>
      </c>
      <c r="T89" s="111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1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1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1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1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1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1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1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1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1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1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46001</v>
      </c>
      <c r="T90" s="111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1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1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1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1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1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1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1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1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1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1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46001</v>
      </c>
      <c r="T91" s="111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1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1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1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1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1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1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1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1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1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8 días</v>
      </c>
      <c r="T92" s="111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1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1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1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1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1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1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1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1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1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1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1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1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1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1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1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1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1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1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1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Eduardo Tasiguano</v>
      </c>
      <c r="T94" s="111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1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1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1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1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1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1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1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1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1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1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1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1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1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1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1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1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1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1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1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33:</v>
      </c>
      <c r="S96" s="11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REF. 1. Ingreso Credenciales</v>
      </c>
      <c r="T96" s="111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1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1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1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1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1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1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1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1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1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Requisito funcional de inicio de sesión</v>
      </c>
      <c r="T97" s="111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1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1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1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1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1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1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1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1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1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45994</v>
      </c>
      <c r="T98" s="111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1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1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1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1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1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1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1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1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1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46001</v>
      </c>
      <c r="T99" s="111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1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1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1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1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1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1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1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1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1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46001</v>
      </c>
      <c r="T100" s="111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1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1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1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1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1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1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1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1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1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8 días</v>
      </c>
      <c r="T101" s="111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1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1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1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1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1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1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1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1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1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1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1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1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1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1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1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1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1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1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1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Cañola</v>
      </c>
      <c r="T103" s="111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1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1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1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1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1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1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1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1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1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1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1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1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1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1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1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1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1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1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1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32:</v>
      </c>
      <c r="S105" s="11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Caja Blanca V1</v>
      </c>
      <c r="T105" s="111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1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1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1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1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1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1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1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1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1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Primera versión de pruebas de caja blanca</v>
      </c>
      <c r="T106" s="111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1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1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1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1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1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1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1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1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1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45992</v>
      </c>
      <c r="T107" s="111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1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1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1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1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1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1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1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1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1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45992</v>
      </c>
      <c r="T108" s="111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1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1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1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1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1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1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1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1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1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45992</v>
      </c>
      <c r="T109" s="111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1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1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1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1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1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1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1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1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1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1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1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1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1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1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1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1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1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1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1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1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1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1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1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1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1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1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1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1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1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Grupo 5</v>
      </c>
      <c r="T112" s="111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1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1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1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1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1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1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1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1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1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1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1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1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1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1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1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1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1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1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1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31:</v>
      </c>
      <c r="S114" s="11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Caja Negra V1</v>
      </c>
      <c r="T114" s="111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1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1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1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1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1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1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1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1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1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Primera versión de pruebas de caja negra</v>
      </c>
      <c r="T115" s="111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1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1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1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1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1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1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1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1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1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45992</v>
      </c>
      <c r="T116" s="111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1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1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1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1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1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1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1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1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1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45992</v>
      </c>
      <c r="T117" s="111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1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1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1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1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1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1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1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1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1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45992</v>
      </c>
      <c r="T118" s="111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1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1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1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1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1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1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1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1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1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1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1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1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1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1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1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1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1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1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1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1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1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1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1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1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1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1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1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1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1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Grupo 5</v>
      </c>
      <c r="T121" s="111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1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1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1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1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1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1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1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1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1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1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1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1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1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1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1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1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1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1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1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30:</v>
      </c>
      <c r="S123" s="11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Matriz de Marco de Trabajo V9</v>
      </c>
      <c r="T123" s="111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1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1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1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1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1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1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1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1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1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Nueva revisión del marco de trabajo</v>
      </c>
      <c r="T124" s="111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1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1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1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1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1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1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1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1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1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45990</v>
      </c>
      <c r="T125" s="111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1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1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1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1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1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1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1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1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1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45991</v>
      </c>
      <c r="T126" s="111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1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1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1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1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1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1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1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1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1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45991</v>
      </c>
      <c r="T127" s="111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1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1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1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1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1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1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1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1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1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1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1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1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1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1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1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1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1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1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1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1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1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1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1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1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1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1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1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1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1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Kevin Cañola</v>
      </c>
      <c r="T130" s="111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1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1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1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1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1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1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1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1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1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1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1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1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1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1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1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1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1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1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1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29:</v>
      </c>
      <c r="S132" s="11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Backlog V3</v>
      </c>
      <c r="T132" s="111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1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1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1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1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1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1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1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1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1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Copia del backlog final para control de versiones</v>
      </c>
      <c r="T133" s="111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1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1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1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1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1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1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1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1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1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45990</v>
      </c>
      <c r="T134" s="111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1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1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1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1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1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1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1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1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1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45991</v>
      </c>
      <c r="T135" s="111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1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1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1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1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1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1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1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1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1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45991</v>
      </c>
      <c r="T136" s="111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1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1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1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1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1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1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1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1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1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1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1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1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1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1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1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1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1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1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1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1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1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1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1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1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1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1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1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1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1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Kevin Cañola</v>
      </c>
      <c r="T139" s="111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1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1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1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1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1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1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1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1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1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1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1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1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1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1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1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1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1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1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1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28:</v>
      </c>
      <c r="S141" s="11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Video Matriz de Usuario</v>
      </c>
      <c r="T141" s="111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1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1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1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1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1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1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1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1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1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Video explicativo de la matriz de usuarios</v>
      </c>
      <c r="T142" s="111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1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1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1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1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1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1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1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1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1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45988</v>
      </c>
      <c r="T143" s="111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1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1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1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1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1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1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1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1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1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45989</v>
      </c>
      <c r="T144" s="111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1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1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1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1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1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1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1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1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1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45989</v>
      </c>
      <c r="T145" s="111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1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1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1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1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1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1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1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1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1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1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1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1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1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1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1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1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1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1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1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1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1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1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1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1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1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1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1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1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1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Grupo 5</v>
      </c>
      <c r="T148" s="111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1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1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1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1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1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1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1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1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1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1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1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1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1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1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1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1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1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1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1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27:</v>
      </c>
      <c r="S150" s="11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Matriz de Marco de Trabajo V8</v>
      </c>
      <c r="T150" s="111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1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1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1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1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1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1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1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1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1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Marco alineado al backlog final</v>
      </c>
      <c r="T151" s="111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1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1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1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1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1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1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1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1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1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45988</v>
      </c>
      <c r="T152" s="111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1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1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1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1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1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1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1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1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1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45989</v>
      </c>
      <c r="T153" s="111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1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1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1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1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1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1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1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1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1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45989</v>
      </c>
      <c r="T154" s="111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1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1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1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1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1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1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1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1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1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1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1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1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1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1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1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1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1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1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1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1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1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1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1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1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1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1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1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1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1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 xml:space="preserve">Cristian Marcalla </v>
      </c>
      <c r="T157" s="111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1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1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1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1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1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1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1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1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1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1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1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1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1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1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1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1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1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1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1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26:</v>
      </c>
      <c r="S159" s="11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Backlog V3</v>
      </c>
      <c r="T159" s="111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1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1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1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1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1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1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1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1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1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Versión final del backlog</v>
      </c>
      <c r="T160" s="111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1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1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1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1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1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1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1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1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1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45988</v>
      </c>
      <c r="T161" s="111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1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1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1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1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1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1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1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1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1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45989</v>
      </c>
      <c r="T162" s="111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1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1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1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1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1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1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1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1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1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45989</v>
      </c>
      <c r="T163" s="111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1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1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1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1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1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1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1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1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1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1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1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1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1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1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1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1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1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1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1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1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1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1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1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1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1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1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1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1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1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Kevin Cañola</v>
      </c>
      <c r="T166" s="111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1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1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1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1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1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1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1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1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1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1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1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1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1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1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1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1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1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1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1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25:</v>
      </c>
      <c r="S168" s="11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Matriz de Marco de Trabajo V7</v>
      </c>
      <c r="T168" s="111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1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1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1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1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1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1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1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1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1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Ajustes tras revisión del backlog</v>
      </c>
      <c r="T169" s="111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1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1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1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1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1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1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1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1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1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45987</v>
      </c>
      <c r="T170" s="111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1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1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1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1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1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1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1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1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1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45988</v>
      </c>
      <c r="T171" s="111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1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1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1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1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1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1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1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1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1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45988</v>
      </c>
      <c r="T172" s="111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1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1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1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1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1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1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1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1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1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1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1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1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1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1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1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1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1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1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1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1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1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1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1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1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1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1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1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1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1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Esteban Lugmaña</v>
      </c>
      <c r="T175" s="111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1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1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1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1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1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1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1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1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1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1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1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1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1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1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1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1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1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1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1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24:</v>
      </c>
      <c r="S177" s="11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Backlog V2</v>
      </c>
      <c r="T177" s="111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1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1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1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1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1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1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1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1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1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Backlog actualizado con prioridades</v>
      </c>
      <c r="T178" s="111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1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1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1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1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1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1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1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1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1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45987</v>
      </c>
      <c r="T179" s="111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1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1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1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1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1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1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1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1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1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45988</v>
      </c>
      <c r="T180" s="111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1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1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1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1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1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1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1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1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1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45988</v>
      </c>
      <c r="T181" s="111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1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1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1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1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1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1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1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1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1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1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1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1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1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1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1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1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1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1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1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1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1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1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1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1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1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1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1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1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1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Kevin Cañola</v>
      </c>
      <c r="T184" s="111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1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1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1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1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1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1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1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1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1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1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1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1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1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1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1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1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1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1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1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23:</v>
      </c>
      <c r="S186" s="11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Matriz de Marco de Trabajo V6</v>
      </c>
      <c r="T186" s="111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1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1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1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1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1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1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1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1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1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Actualización del marco según el backlog</v>
      </c>
      <c r="T187" s="111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1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1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1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1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1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1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1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1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1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45986</v>
      </c>
      <c r="T188" s="111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1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1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1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1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1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1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1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1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1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45987</v>
      </c>
      <c r="T189" s="111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1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1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1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1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1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1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1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1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1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45987</v>
      </c>
      <c r="T190" s="111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1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1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1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1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1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1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1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1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1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1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1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1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1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1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1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1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1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1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1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1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1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1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1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1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1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1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1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1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1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Esteban Lugmaña</v>
      </c>
      <c r="T193" s="111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1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1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1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1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1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1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1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1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1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1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1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1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1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1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1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1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1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1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1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22:</v>
      </c>
      <c r="S195" s="11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Backlog V1</v>
      </c>
      <c r="T195" s="111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1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1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1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1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1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1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1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1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1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Lista inicial de tareas y funcionalidades</v>
      </c>
      <c r="T196" s="111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1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1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1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1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1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1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1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1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1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45985</v>
      </c>
      <c r="T197" s="111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1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1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1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1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1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1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1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1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1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45986</v>
      </c>
      <c r="T198" s="111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1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1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1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1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1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1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1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1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1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45986</v>
      </c>
      <c r="T199" s="111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1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1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1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1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1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1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1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1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1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1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1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1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1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1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1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1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2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2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2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2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2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2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2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2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2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2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22" zoomScaleNormal="122" workbookViewId="0">
      <pane ySplit="1" topLeftCell="A35" activePane="bottomLeft" state="frozen"/>
      <selection pane="bottomLeft" activeCell="A49" sqref="A49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4" t="s">
        <v>226</v>
      </c>
      <c r="D2" s="102" t="s">
        <v>277</v>
      </c>
      <c r="E2" s="103">
        <v>45948</v>
      </c>
      <c r="F2" s="93">
        <v>45949</v>
      </c>
      <c r="G2" s="93">
        <v>45949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274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3" t="s">
        <v>227</v>
      </c>
      <c r="D3" s="104" t="s">
        <v>278</v>
      </c>
      <c r="E3" s="103">
        <v>45948</v>
      </c>
      <c r="F3" s="93">
        <v>45949</v>
      </c>
      <c r="G3" s="93">
        <v>45949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228</v>
      </c>
      <c r="D4" s="92" t="s">
        <v>279</v>
      </c>
      <c r="E4" s="103">
        <v>45948</v>
      </c>
      <c r="F4" s="93">
        <v>45949</v>
      </c>
      <c r="G4" s="93">
        <v>45949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275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229</v>
      </c>
      <c r="D5" s="95" t="s">
        <v>280</v>
      </c>
      <c r="E5" s="93">
        <v>45950</v>
      </c>
      <c r="F5" s="93">
        <v>45951</v>
      </c>
      <c r="G5" s="93">
        <v>45951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274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5</v>
      </c>
      <c r="B6" s="92" t="s">
        <v>3</v>
      </c>
      <c r="C6" s="106" t="s">
        <v>225</v>
      </c>
      <c r="D6" s="102" t="s">
        <v>281</v>
      </c>
      <c r="E6" s="93">
        <v>45950</v>
      </c>
      <c r="F6" s="93">
        <v>45951</v>
      </c>
      <c r="G6" s="93">
        <v>45951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275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5" t="s">
        <v>230</v>
      </c>
      <c r="D7" s="95" t="s">
        <v>282</v>
      </c>
      <c r="E7" s="93">
        <v>45950</v>
      </c>
      <c r="F7" s="93">
        <v>45951</v>
      </c>
      <c r="G7" s="93">
        <v>45951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5" t="s">
        <v>223</v>
      </c>
      <c r="D8" s="102" t="s">
        <v>283</v>
      </c>
      <c r="E8" s="109">
        <v>45951</v>
      </c>
      <c r="F8" s="93">
        <v>45952</v>
      </c>
      <c r="G8" s="109">
        <v>45952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275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7</v>
      </c>
      <c r="B9" s="95" t="s">
        <v>8</v>
      </c>
      <c r="C9" s="106" t="s">
        <v>231</v>
      </c>
      <c r="D9" s="95" t="s">
        <v>284</v>
      </c>
      <c r="E9" s="96">
        <v>45954</v>
      </c>
      <c r="F9" s="96">
        <v>45955</v>
      </c>
      <c r="G9" s="96">
        <v>45955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276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6" t="s">
        <v>232</v>
      </c>
      <c r="D10" s="92" t="s">
        <v>285</v>
      </c>
      <c r="E10" s="93">
        <v>45955</v>
      </c>
      <c r="F10" s="93">
        <v>45956</v>
      </c>
      <c r="G10" s="93">
        <v>45956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275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105" t="s">
        <v>233</v>
      </c>
      <c r="D11" s="95" t="s">
        <v>286</v>
      </c>
      <c r="E11" s="97">
        <v>45956</v>
      </c>
      <c r="F11" s="96">
        <v>45957</v>
      </c>
      <c r="G11" s="96">
        <v>45957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274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5</v>
      </c>
      <c r="B12" s="92" t="s">
        <v>3</v>
      </c>
      <c r="C12" s="106" t="s">
        <v>234</v>
      </c>
      <c r="D12" s="102" t="s">
        <v>287</v>
      </c>
      <c r="E12" s="98">
        <v>45957</v>
      </c>
      <c r="F12" s="93">
        <v>45958</v>
      </c>
      <c r="G12" s="93">
        <v>45958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3</v>
      </c>
      <c r="C13" s="105" t="s">
        <v>235</v>
      </c>
      <c r="D13" s="104" t="s">
        <v>288</v>
      </c>
      <c r="E13" s="110">
        <v>45957</v>
      </c>
      <c r="F13" s="110">
        <v>45958</v>
      </c>
      <c r="G13" s="110">
        <v>45958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5" t="s">
        <v>236</v>
      </c>
      <c r="D14" s="102" t="s">
        <v>289</v>
      </c>
      <c r="E14" s="109">
        <v>45961</v>
      </c>
      <c r="F14" s="93">
        <v>45962</v>
      </c>
      <c r="G14" s="109">
        <v>45962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276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3</v>
      </c>
      <c r="C15" s="105" t="s">
        <v>237</v>
      </c>
      <c r="D15" s="95" t="s">
        <v>290</v>
      </c>
      <c r="E15" s="110">
        <v>45961</v>
      </c>
      <c r="F15" s="96">
        <v>45962</v>
      </c>
      <c r="G15" s="110">
        <v>45962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274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5</v>
      </c>
      <c r="B16" s="92" t="s">
        <v>3</v>
      </c>
      <c r="C16" s="105" t="s">
        <v>238</v>
      </c>
      <c r="D16" s="102" t="s">
        <v>291</v>
      </c>
      <c r="E16" s="109">
        <v>45966</v>
      </c>
      <c r="F16" s="109">
        <v>45967</v>
      </c>
      <c r="G16" s="109">
        <v>45967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5</v>
      </c>
      <c r="B17" s="95" t="s">
        <v>3</v>
      </c>
      <c r="C17" s="105" t="s">
        <v>239</v>
      </c>
      <c r="D17" s="104" t="s">
        <v>292</v>
      </c>
      <c r="E17" s="110">
        <v>45968</v>
      </c>
      <c r="F17" s="96">
        <v>45969</v>
      </c>
      <c r="G17" s="96">
        <v>45969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275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105" t="s">
        <v>240</v>
      </c>
      <c r="D18" s="92" t="s">
        <v>293</v>
      </c>
      <c r="E18" s="109">
        <v>45968</v>
      </c>
      <c r="F18" s="109">
        <v>45969</v>
      </c>
      <c r="G18" s="109">
        <v>45969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275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105" t="s">
        <v>224</v>
      </c>
      <c r="D19" s="95" t="s">
        <v>294</v>
      </c>
      <c r="E19" s="110">
        <v>45969</v>
      </c>
      <c r="F19" s="110">
        <v>45970</v>
      </c>
      <c r="G19" s="110">
        <v>45970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275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108" t="s">
        <v>241</v>
      </c>
      <c r="D20" s="92" t="s">
        <v>295</v>
      </c>
      <c r="E20" s="109">
        <v>45970</v>
      </c>
      <c r="F20" s="109">
        <v>45971</v>
      </c>
      <c r="G20" s="109">
        <v>45971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3</v>
      </c>
      <c r="C21" s="107" t="s">
        <v>242</v>
      </c>
      <c r="D21" s="104" t="s">
        <v>296</v>
      </c>
      <c r="E21" s="110">
        <v>45971</v>
      </c>
      <c r="F21" s="110">
        <v>45972</v>
      </c>
      <c r="G21" s="110">
        <v>45972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8" t="s">
        <v>243</v>
      </c>
      <c r="D22" s="92" t="s">
        <v>297</v>
      </c>
      <c r="E22" s="109">
        <v>45975</v>
      </c>
      <c r="F22" s="109">
        <v>45976</v>
      </c>
      <c r="G22" s="109">
        <v>45976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276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105" t="s">
        <v>244</v>
      </c>
      <c r="D23" s="95" t="s">
        <v>298</v>
      </c>
      <c r="E23" s="110">
        <v>45985</v>
      </c>
      <c r="F23" s="110">
        <v>45986</v>
      </c>
      <c r="G23" s="110">
        <v>45986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8" t="s">
        <v>245</v>
      </c>
      <c r="D24" s="92" t="s">
        <v>299</v>
      </c>
      <c r="E24" s="109">
        <v>45986</v>
      </c>
      <c r="F24" s="109">
        <v>45987</v>
      </c>
      <c r="G24" s="109">
        <v>45987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276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3</v>
      </c>
      <c r="C25" s="105" t="s">
        <v>246</v>
      </c>
      <c r="D25" s="95" t="s">
        <v>300</v>
      </c>
      <c r="E25" s="110">
        <v>45987</v>
      </c>
      <c r="F25" s="110">
        <v>45988</v>
      </c>
      <c r="G25" s="110">
        <v>45988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3</v>
      </c>
      <c r="C26" s="108" t="s">
        <v>247</v>
      </c>
      <c r="D26" s="92" t="s">
        <v>301</v>
      </c>
      <c r="E26" s="109">
        <v>45987</v>
      </c>
      <c r="F26" s="109">
        <v>45988</v>
      </c>
      <c r="G26" s="109">
        <v>45988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276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3</v>
      </c>
      <c r="C27" s="105" t="s">
        <v>248</v>
      </c>
      <c r="D27" s="95" t="s">
        <v>302</v>
      </c>
      <c r="E27" s="110">
        <v>45988</v>
      </c>
      <c r="F27" s="110">
        <v>45989</v>
      </c>
      <c r="G27" s="110">
        <v>45989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3</v>
      </c>
      <c r="C28" s="108" t="s">
        <v>249</v>
      </c>
      <c r="D28" s="92" t="s">
        <v>303</v>
      </c>
      <c r="E28" s="109">
        <v>45988</v>
      </c>
      <c r="F28" s="109">
        <v>45989</v>
      </c>
      <c r="G28" s="109">
        <v>45989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274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5</v>
      </c>
      <c r="B29" s="95" t="s">
        <v>3</v>
      </c>
      <c r="C29" s="105" t="s">
        <v>250</v>
      </c>
      <c r="D29" s="95" t="s">
        <v>304</v>
      </c>
      <c r="E29" s="110">
        <v>45988</v>
      </c>
      <c r="F29" s="110">
        <v>45989</v>
      </c>
      <c r="G29" s="110">
        <v>45989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275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5</v>
      </c>
      <c r="B30" s="92" t="s">
        <v>3</v>
      </c>
      <c r="C30" s="108" t="s">
        <v>248</v>
      </c>
      <c r="D30" s="92" t="s">
        <v>305</v>
      </c>
      <c r="E30" s="109">
        <v>45990</v>
      </c>
      <c r="F30" s="109">
        <v>45991</v>
      </c>
      <c r="G30" s="109">
        <v>45991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5</v>
      </c>
      <c r="B31" s="95" t="s">
        <v>3</v>
      </c>
      <c r="C31" s="105" t="s">
        <v>251</v>
      </c>
      <c r="D31" s="95" t="s">
        <v>306</v>
      </c>
      <c r="E31" s="110">
        <v>45990</v>
      </c>
      <c r="F31" s="110">
        <v>45991</v>
      </c>
      <c r="G31" s="110">
        <v>45991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219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5</v>
      </c>
      <c r="B32" s="92" t="s">
        <v>3</v>
      </c>
      <c r="C32" s="108" t="s">
        <v>252</v>
      </c>
      <c r="D32" s="92" t="s">
        <v>307</v>
      </c>
      <c r="E32" s="109">
        <v>45992</v>
      </c>
      <c r="F32" s="109">
        <v>45992</v>
      </c>
      <c r="G32" s="109">
        <v>45992</v>
      </c>
      <c r="H32" s="43" t="str">
        <f>IF(Datos!$G32&gt;0,Datos!$G32-Datos!$E32+1 &amp; " " &amp; Idiomas!$A$29,"")</f>
        <v>1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275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5</v>
      </c>
      <c r="B33" s="95" t="s">
        <v>3</v>
      </c>
      <c r="C33" s="105" t="s">
        <v>253</v>
      </c>
      <c r="D33" s="95" t="s">
        <v>308</v>
      </c>
      <c r="E33" s="110">
        <v>45992</v>
      </c>
      <c r="F33" s="110">
        <v>45992</v>
      </c>
      <c r="G33" s="110">
        <v>45992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275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5</v>
      </c>
      <c r="B34" s="92" t="s">
        <v>3</v>
      </c>
      <c r="C34" s="108" t="s">
        <v>254</v>
      </c>
      <c r="D34" s="92" t="s">
        <v>309</v>
      </c>
      <c r="E34" s="109">
        <v>45994</v>
      </c>
      <c r="F34" s="109">
        <v>46001</v>
      </c>
      <c r="G34" s="109">
        <v>46001</v>
      </c>
      <c r="H34" s="43" t="str">
        <f>IF(Datos!$G34&gt;0,Datos!$G34-Datos!$E34+1 &amp; " " &amp; Idiomas!$A$29,"")</f>
        <v>8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219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5</v>
      </c>
      <c r="B35" s="95" t="s">
        <v>3</v>
      </c>
      <c r="C35" s="105" t="s">
        <v>255</v>
      </c>
      <c r="D35" s="95" t="s">
        <v>310</v>
      </c>
      <c r="E35" s="110">
        <v>45994</v>
      </c>
      <c r="F35" s="110">
        <v>46001</v>
      </c>
      <c r="G35" s="110">
        <v>46001</v>
      </c>
      <c r="H35" s="45" t="str">
        <f>IF(Datos!$G35&gt;0,Datos!$G35-Datos!$E35+1 &amp; " " &amp; Idiomas!$A$29,"")</f>
        <v>8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221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5</v>
      </c>
      <c r="B36" s="92" t="s">
        <v>3</v>
      </c>
      <c r="C36" s="108" t="s">
        <v>256</v>
      </c>
      <c r="D36" s="92" t="s">
        <v>311</v>
      </c>
      <c r="E36" s="109">
        <v>46001</v>
      </c>
      <c r="F36" s="109">
        <v>46002</v>
      </c>
      <c r="G36" s="109">
        <v>46002</v>
      </c>
      <c r="H36" s="43" t="str">
        <f>IF(Datos!$G36&gt;0,Datos!$G36-Datos!$E36+1 &amp; " " &amp; Idiomas!$A$29,"")</f>
        <v>2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219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5</v>
      </c>
      <c r="B37" s="95" t="s">
        <v>3</v>
      </c>
      <c r="C37" s="105" t="s">
        <v>257</v>
      </c>
      <c r="D37" s="95" t="s">
        <v>312</v>
      </c>
      <c r="E37" s="110">
        <v>46361</v>
      </c>
      <c r="F37" s="110">
        <v>46368</v>
      </c>
      <c r="G37" s="110">
        <v>46368</v>
      </c>
      <c r="H37" s="45" t="str">
        <f>IF(Datos!$G37&gt;0,Datos!$G37-Datos!$E37+1 &amp; " " &amp; Idiomas!$A$29,"")</f>
        <v>8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219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5</v>
      </c>
      <c r="B38" s="92" t="s">
        <v>3</v>
      </c>
      <c r="C38" s="108" t="s">
        <v>258</v>
      </c>
      <c r="D38" s="92" t="s">
        <v>313</v>
      </c>
      <c r="E38" s="109">
        <v>46361</v>
      </c>
      <c r="F38" s="109">
        <v>46368</v>
      </c>
      <c r="G38" s="109">
        <v>46368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276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5</v>
      </c>
      <c r="B39" s="95" t="s">
        <v>3</v>
      </c>
      <c r="C39" s="105" t="s">
        <v>259</v>
      </c>
      <c r="D39" s="95" t="s">
        <v>314</v>
      </c>
      <c r="E39" s="110">
        <v>46361</v>
      </c>
      <c r="F39" s="110">
        <v>46368</v>
      </c>
      <c r="G39" s="110">
        <v>46368</v>
      </c>
      <c r="H39" s="45" t="str">
        <f>IF(Datos!$G39&gt;0,Datos!$G39-Datos!$E39+1 &amp; " " &amp; Idiomas!$A$29,"")</f>
        <v>8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276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5</v>
      </c>
      <c r="B40" s="92" t="s">
        <v>3</v>
      </c>
      <c r="C40" s="108" t="s">
        <v>260</v>
      </c>
      <c r="D40" s="92" t="s">
        <v>315</v>
      </c>
      <c r="E40" s="109">
        <v>46368</v>
      </c>
      <c r="F40" s="109">
        <v>46368</v>
      </c>
      <c r="G40" s="109">
        <v>46368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275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5</v>
      </c>
      <c r="B41" s="95" t="s">
        <v>3</v>
      </c>
      <c r="C41" s="105" t="s">
        <v>261</v>
      </c>
      <c r="D41" s="95" t="s">
        <v>316</v>
      </c>
      <c r="E41" s="110">
        <v>46374</v>
      </c>
      <c r="F41" s="110">
        <v>46377</v>
      </c>
      <c r="G41" s="110">
        <v>46377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219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5</v>
      </c>
      <c r="B42" s="92" t="s">
        <v>3</v>
      </c>
      <c r="C42" s="108" t="s">
        <v>262</v>
      </c>
      <c r="D42" s="92" t="s">
        <v>317</v>
      </c>
      <c r="E42" s="109">
        <v>46025</v>
      </c>
      <c r="F42" s="109">
        <v>46027</v>
      </c>
      <c r="G42" s="109">
        <v>46027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274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7</v>
      </c>
      <c r="B43" s="95" t="s">
        <v>6</v>
      </c>
      <c r="C43" s="95" t="s">
        <v>263</v>
      </c>
      <c r="D43" s="95" t="s">
        <v>318</v>
      </c>
      <c r="E43" s="96">
        <v>46029</v>
      </c>
      <c r="F43" s="96">
        <v>46036</v>
      </c>
      <c r="G43" s="96">
        <v>46036</v>
      </c>
      <c r="H43" s="45" t="str">
        <f>IF(Datos!$G43&gt;0,Datos!$G43-Datos!$E43+1 &amp; " " &amp; Idiomas!$A$29,"")</f>
        <v>8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221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7</v>
      </c>
      <c r="B44" s="92" t="s">
        <v>6</v>
      </c>
      <c r="C44" s="92" t="s">
        <v>264</v>
      </c>
      <c r="D44" s="92" t="s">
        <v>319</v>
      </c>
      <c r="E44" s="93">
        <v>46029</v>
      </c>
      <c r="F44" s="93">
        <v>46036</v>
      </c>
      <c r="G44" s="93">
        <v>46036</v>
      </c>
      <c r="H44" s="43" t="str">
        <f>IF(Datos!$G44&gt;0,Datos!$G44-Datos!$E44+1 &amp; " " &amp; Idiomas!$A$29,"")</f>
        <v>8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221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7</v>
      </c>
      <c r="B45" s="95" t="s">
        <v>6</v>
      </c>
      <c r="C45" s="95" t="s">
        <v>265</v>
      </c>
      <c r="D45" s="95" t="s">
        <v>320</v>
      </c>
      <c r="E45" s="96">
        <v>46029</v>
      </c>
      <c r="F45" s="96">
        <v>46036</v>
      </c>
      <c r="G45" s="96">
        <v>46036</v>
      </c>
      <c r="H45" s="45" t="str">
        <f>IF(Datos!$G45&gt;0,Datos!$G45-Datos!$E45+1 &amp; " " &amp; Idiomas!$A$29,"")</f>
        <v>8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276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7</v>
      </c>
      <c r="B46" s="92" t="s">
        <v>6</v>
      </c>
      <c r="C46" s="92" t="s">
        <v>266</v>
      </c>
      <c r="D46" s="92" t="s">
        <v>321</v>
      </c>
      <c r="E46" s="93">
        <v>46029</v>
      </c>
      <c r="F46" s="93">
        <v>46036</v>
      </c>
      <c r="G46" s="93">
        <v>46036</v>
      </c>
      <c r="H46" s="43" t="str">
        <f>IF(Datos!$G46&gt;0,Datos!$G46-Datos!$E46+1 &amp; " " &amp; Idiomas!$A$29,"")</f>
        <v>8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276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2</v>
      </c>
      <c r="B47" s="95" t="s">
        <v>8</v>
      </c>
      <c r="C47" s="95" t="s">
        <v>267</v>
      </c>
      <c r="D47" s="95" t="s">
        <v>322</v>
      </c>
      <c r="E47" s="96">
        <v>46030</v>
      </c>
      <c r="F47" s="96">
        <v>46043</v>
      </c>
      <c r="G47" s="96">
        <v>46043</v>
      </c>
      <c r="H47" s="45" t="str">
        <f>IF(Datos!$G47&gt;0,Datos!$G47-Datos!$E47+1 &amp; " " &amp; Idiomas!$A$29,"")</f>
        <v>14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274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2</v>
      </c>
      <c r="B48" s="92" t="s">
        <v>8</v>
      </c>
      <c r="C48" s="92" t="s">
        <v>268</v>
      </c>
      <c r="D48" s="92" t="s">
        <v>323</v>
      </c>
      <c r="E48" s="93">
        <v>46030</v>
      </c>
      <c r="F48" s="93">
        <v>46043</v>
      </c>
      <c r="G48" s="93">
        <v>46043</v>
      </c>
      <c r="H48" s="43" t="str">
        <f>IF(Datos!$G48&gt;0,Datos!$G48-Datos!$E48+1 &amp; " " &amp; Idiomas!$A$29,"")</f>
        <v>14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274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9</v>
      </c>
      <c r="B49" s="95" t="s">
        <v>8</v>
      </c>
      <c r="C49" s="95" t="s">
        <v>269</v>
      </c>
      <c r="D49" s="95" t="s">
        <v>324</v>
      </c>
      <c r="E49" s="96">
        <v>46044</v>
      </c>
      <c r="F49" s="96">
        <v>46050</v>
      </c>
      <c r="G49" s="96">
        <v>46050</v>
      </c>
      <c r="H49" s="45" t="str">
        <f>IF(Datos!$G49&gt;0,Datos!$G49-Datos!$E49+1 &amp; " " &amp; Idiomas!$A$29,"")</f>
        <v>7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219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9</v>
      </c>
      <c r="B50" s="92" t="s">
        <v>8</v>
      </c>
      <c r="C50" s="92" t="s">
        <v>270</v>
      </c>
      <c r="D50" s="92" t="s">
        <v>325</v>
      </c>
      <c r="E50" s="93">
        <v>46044</v>
      </c>
      <c r="F50" s="93">
        <v>46050</v>
      </c>
      <c r="G50" s="93">
        <v>46050</v>
      </c>
      <c r="H50" s="43" t="str">
        <f>IF(Datos!$G50&gt;0,Datos!$G50-Datos!$E50+1 &amp; " " &amp; Idiomas!$A$29,"")</f>
        <v>7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219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2</v>
      </c>
      <c r="B51" s="95" t="s">
        <v>8</v>
      </c>
      <c r="C51" s="95" t="s">
        <v>271</v>
      </c>
      <c r="D51" s="95" t="s">
        <v>326</v>
      </c>
      <c r="E51" s="96">
        <v>46045</v>
      </c>
      <c r="F51" s="96">
        <v>46046</v>
      </c>
      <c r="G51" s="96">
        <v>46046</v>
      </c>
      <c r="H51" s="45" t="str">
        <f>IF(Datos!$G51&gt;0,Datos!$G51-Datos!$E51+1 &amp; " " &amp; Idiomas!$A$29,"")</f>
        <v>2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219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5</v>
      </c>
      <c r="B52" s="92" t="s">
        <v>3</v>
      </c>
      <c r="C52" s="92" t="s">
        <v>272</v>
      </c>
      <c r="D52" s="92" t="s">
        <v>327</v>
      </c>
      <c r="E52" s="93">
        <v>46034</v>
      </c>
      <c r="F52" s="93">
        <v>46035</v>
      </c>
      <c r="G52" s="93">
        <v>46035</v>
      </c>
      <c r="H52" s="43" t="str">
        <f>IF(Datos!$G52&gt;0,Datos!$G52-Datos!$E52+1 &amp; " " &amp; Idiomas!$A$29,"")</f>
        <v>2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275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7</v>
      </c>
      <c r="B53" s="95" t="s">
        <v>8</v>
      </c>
      <c r="C53" s="95" t="s">
        <v>273</v>
      </c>
      <c r="D53" s="95" t="s">
        <v>328</v>
      </c>
      <c r="E53" s="96">
        <v>46037</v>
      </c>
      <c r="F53" s="96">
        <v>46038</v>
      </c>
      <c r="G53" s="96">
        <v>46038</v>
      </c>
      <c r="H53" s="45" t="str">
        <f>IF(Datos!$G53&gt;0,Datos!$G53-Datos!$E53+1 &amp; " " &amp; Idiomas!$A$29,"")</f>
        <v>2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275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8:E101">
    <cfRule type="expression" dxfId="3" priority="2" stopIfTrue="1">
      <formula>AND($A8&lt;&gt;"",$E8="")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4" t="str">
        <f>"                " &amp; Idiomas!$A$2 &amp; " v3 ©️            "</f>
        <v xml:space="preserve">                Tablero KANBAN v3 ©️            </v>
      </c>
      <c r="C2" s="114"/>
      <c r="E2" s="7" t="s">
        <v>12</v>
      </c>
      <c r="F2" s="118" t="str">
        <f>Idiomas!$A$2 &amp; " | #ExcelPedroWave"</f>
        <v>Tablero KANBAN | #ExcelPedroWave</v>
      </c>
      <c r="G2" s="118"/>
      <c r="H2" s="118"/>
    </row>
    <row r="3" spans="2:9" ht="15" customHeight="1" x14ac:dyDescent="0.3">
      <c r="E3" s="8" t="s">
        <v>13</v>
      </c>
      <c r="F3" s="118" t="s">
        <v>14</v>
      </c>
      <c r="G3" s="118"/>
      <c r="H3" s="118"/>
    </row>
    <row r="4" spans="2:9" x14ac:dyDescent="0.3">
      <c r="B4" s="89" t="str">
        <f>Idiomas!$A$3</f>
        <v>Idioma</v>
      </c>
      <c r="E4" s="8" t="s">
        <v>15</v>
      </c>
      <c r="F4" s="119" t="s">
        <v>16</v>
      </c>
      <c r="G4" s="119"/>
      <c r="H4" s="119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275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5" t="s">
        <v>21</v>
      </c>
      <c r="C23" s="116"/>
      <c r="D23" s="11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H-51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H-51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H51:H58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R-195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R-195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R195:R202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R-186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R-186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R186:R193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R-177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R-177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R177:R184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R-168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R-168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R168:R175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R-159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R-159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R159:R166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R-150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R-150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R150:R157</v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R-141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R-141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R141:R148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R-132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R-132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R132:R139</v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R-123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R-123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R123:R130</v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R-114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R-114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R114:R121</v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R-105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R-105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R105:R112</v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R-96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R-96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R96:R103</v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R-87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R-87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R87:R94</v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R-78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R-78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R78:R85</v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R-69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R-69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R69:R76</v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R-60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R-60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R60:R67</v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R-51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R-51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R51:R58</v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R-42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R-42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R42:R49</v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R-33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R-33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R33:R40</v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R-24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R-24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R24:R31</v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2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>H-42</v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H-42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H42:H49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2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>H-33</v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H-33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H33:H40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2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>H-24</v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H-24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H24:H31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2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>H-15</v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H-15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H15:H22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3</v>
      </c>
      <c r="C47" s="57">
        <f>IFERROR(MATCH(Datos!$B47,Configura!$D$9:$D$11,0),0)</f>
        <v>3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>M-24</v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M-24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M24:M31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3</v>
      </c>
      <c r="C48" s="53">
        <f>IFERROR(MATCH(Datos!$B48,Configura!$D$9:$D$11,0),0)</f>
        <v>3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>M-15</v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M-15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M15:M22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1</v>
      </c>
      <c r="C49" s="57">
        <f>IFERROR(MATCH(Datos!$B49,Configura!$D$9:$D$11,0),0)</f>
        <v>3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>C-15</v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C-15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C15:C22</v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1</v>
      </c>
      <c r="C50" s="53">
        <f>IFERROR(MATCH(Datos!$B50,Configura!$D$9:$D$11,0),0)</f>
        <v>3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>C-6</v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C-6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C6:C13</v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3</v>
      </c>
      <c r="C51" s="57">
        <f>IFERROR(MATCH(Datos!$B51,Configura!$D$9:$D$11,0),0)</f>
        <v>3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>M-6</v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M-6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M6:M13</v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2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R-15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R-15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R15:R22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2</v>
      </c>
      <c r="C53" s="57">
        <f>IFERROR(MATCH(Datos!$B53,Configura!$D$9:$D$11,0),0)</f>
        <v>3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>H-6</v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H-6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H6:H13</v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49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52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50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3-1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49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52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50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3-2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49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52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>
        <f t="shared" ca="1" si="2"/>
        <v>50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3-3</v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49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52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>
        <f t="shared" ca="1" si="2"/>
        <v>50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3-4</v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49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52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>
        <f t="shared" ca="1" si="2"/>
        <v>50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3-5</v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49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52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>
        <f t="shared" ca="1" si="2"/>
        <v>50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3-6</v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49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>
        <f ca="1"/>
        <v>8</v>
      </c>
      <c r="H9" s="20">
        <f t="shared" ca="1" si="11"/>
        <v>1</v>
      </c>
      <c r="I9" s="20">
        <f t="shared" ca="1" si="1"/>
        <v>52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>
        <f t="shared" ca="1" si="2"/>
        <v>50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3-7</v>
      </c>
      <c r="Q9" s="19" t="str">
        <f ca="1"/>
        <v/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49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>
        <f t="shared" ca="1" si="1"/>
        <v>52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>
        <f t="shared" ca="1" si="2"/>
        <v>50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3-8</v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49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52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50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48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>
        <f t="shared" ca="1" si="1"/>
        <v>45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2</v>
      </c>
      <c r="N12" s="20">
        <f t="shared" ca="1" si="2"/>
        <v>47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3-1</v>
      </c>
      <c r="Q12" s="19">
        <f ca="1"/>
        <v>11</v>
      </c>
      <c r="R12" s="20">
        <f t="shared" ca="1" si="13"/>
        <v>2</v>
      </c>
      <c r="S12" s="20">
        <f t="shared" ca="1" si="3"/>
        <v>51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>
        <f t="shared" ca="1" si="0"/>
        <v>48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2</v>
      </c>
      <c r="I13" s="20">
        <f t="shared" ca="1" si="1"/>
        <v>45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2</v>
      </c>
      <c r="N13" s="20">
        <f t="shared" ca="1" si="2"/>
        <v>47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3-2</v>
      </c>
      <c r="Q13" s="19">
        <f ca="1"/>
        <v>12</v>
      </c>
      <c r="R13" s="20">
        <f t="shared" ca="1" si="13"/>
        <v>2</v>
      </c>
      <c r="S13" s="20">
        <f t="shared" ca="1" si="3"/>
        <v>51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48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 t="str">
        <f ca="1"/>
        <v/>
      </c>
      <c r="H14" s="20">
        <f t="shared" ca="1" si="11"/>
        <v>2</v>
      </c>
      <c r="I14" s="20">
        <f t="shared" ca="1" si="1"/>
        <v>45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2</v>
      </c>
      <c r="N14" s="20">
        <f t="shared" ca="1" si="2"/>
        <v>47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3-3</v>
      </c>
      <c r="Q14" s="19">
        <f ca="1"/>
        <v>13</v>
      </c>
      <c r="R14" s="20">
        <f t="shared" ca="1" si="13"/>
        <v>2</v>
      </c>
      <c r="S14" s="20">
        <f t="shared" ca="1" si="3"/>
        <v>51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48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2</v>
      </c>
      <c r="I15" s="20">
        <f t="shared" ca="1" si="1"/>
        <v>45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2</v>
      </c>
      <c r="N15" s="20">
        <f t="shared" ca="1" si="2"/>
        <v>47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3-4</v>
      </c>
      <c r="Q15" s="19">
        <f ca="1"/>
        <v>14</v>
      </c>
      <c r="R15" s="20">
        <f t="shared" ca="1" si="13"/>
        <v>2</v>
      </c>
      <c r="S15" s="20">
        <f t="shared" ca="1" si="3"/>
        <v>51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48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>
        <f t="shared" ca="1" si="1"/>
        <v>45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2</v>
      </c>
      <c r="N16" s="20">
        <f t="shared" ca="1" si="2"/>
        <v>47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3-5</v>
      </c>
      <c r="Q16" s="19">
        <f ca="1"/>
        <v>15</v>
      </c>
      <c r="R16" s="20">
        <f t="shared" ca="1" si="13"/>
        <v>2</v>
      </c>
      <c r="S16" s="20">
        <f t="shared" ca="1" si="3"/>
        <v>51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>
        <f t="shared" ca="1" si="0"/>
        <v>48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2</v>
      </c>
      <c r="I17" s="20">
        <f t="shared" ca="1" si="1"/>
        <v>45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2</v>
      </c>
      <c r="N17" s="20">
        <f t="shared" ca="1" si="2"/>
        <v>47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3-6</v>
      </c>
      <c r="Q17" s="19">
        <f ca="1"/>
        <v>16</v>
      </c>
      <c r="R17" s="20">
        <f t="shared" ca="1" si="13"/>
        <v>2</v>
      </c>
      <c r="S17" s="20">
        <f t="shared" ca="1" si="3"/>
        <v>51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>
        <f t="shared" ca="1" si="0"/>
        <v>48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2</v>
      </c>
      <c r="I18" s="20">
        <f t="shared" ca="1" si="1"/>
        <v>45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2</v>
      </c>
      <c r="N18" s="20">
        <f t="shared" ca="1" si="2"/>
        <v>47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3-7</v>
      </c>
      <c r="Q18" s="19">
        <f ca="1"/>
        <v>17</v>
      </c>
      <c r="R18" s="20">
        <f t="shared" ca="1" si="13"/>
        <v>2</v>
      </c>
      <c r="S18" s="20">
        <f t="shared" ca="1" si="3"/>
        <v>51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>
        <f t="shared" ca="1" si="0"/>
        <v>48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2</v>
      </c>
      <c r="I19" s="20">
        <f t="shared" ca="1" si="1"/>
        <v>45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2</v>
      </c>
      <c r="N19" s="20">
        <f t="shared" ca="1" si="2"/>
        <v>47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3-8</v>
      </c>
      <c r="Q19" s="19">
        <f ca="1"/>
        <v>18</v>
      </c>
      <c r="R19" s="20">
        <f t="shared" ca="1" si="13"/>
        <v>2</v>
      </c>
      <c r="S19" s="20">
        <f t="shared" ca="1" si="3"/>
        <v>51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48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45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47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51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44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3</v>
      </c>
      <c r="N21" s="20">
        <f t="shared" ca="1" si="2"/>
        <v>46</v>
      </c>
      <c r="O21" s="20" cm="1">
        <f t="array" aca="1" ref="O21" ca="1">IF(N21="","",IF(N21&lt;&gt;N20,1,IF(O20=misLíneas-2,0,O20+1)))</f>
        <v>1</v>
      </c>
      <c r="P21" s="20" t="str" cm="1">
        <f t="array" aca="1" ref="P21" ca="1">IF(OR(O21=0,O21=""),"",INDEX(misCriticidades,N21)&amp;"-"&amp;IFERROR(MATCH(O21,miOrdenTarjeta,0),0))</f>
        <v>3-1</v>
      </c>
      <c r="Q21" s="19">
        <f ca="1"/>
        <v>20</v>
      </c>
      <c r="R21" s="20">
        <f t="shared" ca="1" si="13"/>
        <v>3</v>
      </c>
      <c r="S21" s="20">
        <f t="shared" ca="1" si="3"/>
        <v>41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44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3</v>
      </c>
      <c r="N22" s="20">
        <f t="shared" ca="1" si="2"/>
        <v>46</v>
      </c>
      <c r="O22" s="20" cm="1">
        <f t="array" aca="1" ref="O22" ca="1">IF(N22="","",IF(N22&lt;&gt;N21,1,IF(O21=misLíneas-2,0,O21+1)))</f>
        <v>2</v>
      </c>
      <c r="P22" s="20" t="str" cm="1">
        <f t="array" aca="1" ref="P22" ca="1">IF(OR(O22=0,O22=""),"",INDEX(misCriticidades,N22)&amp;"-"&amp;IFERROR(MATCH(O22,miOrdenTarjeta,0),0))</f>
        <v>3-2</v>
      </c>
      <c r="Q22" s="19">
        <f ca="1"/>
        <v>21</v>
      </c>
      <c r="R22" s="20">
        <f t="shared" ca="1" si="13"/>
        <v>3</v>
      </c>
      <c r="S22" s="20">
        <f t="shared" ca="1" si="3"/>
        <v>41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44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3</v>
      </c>
      <c r="N23" s="20">
        <f t="shared" ca="1" si="2"/>
        <v>46</v>
      </c>
      <c r="O23" s="20" cm="1">
        <f t="array" aca="1" ref="O23" ca="1">IF(N23="","",IF(N23&lt;&gt;N22,1,IF(O22=misLíneas-2,0,O22+1)))</f>
        <v>3</v>
      </c>
      <c r="P23" s="20" t="str" cm="1">
        <f t="array" aca="1" ref="P23" ca="1">IF(OR(O23=0,O23=""),"",INDEX(misCriticidades,N23)&amp;"-"&amp;IFERROR(MATCH(O23,miOrdenTarjeta,0),0))</f>
        <v>3-3</v>
      </c>
      <c r="Q23" s="19">
        <f ca="1"/>
        <v>22</v>
      </c>
      <c r="R23" s="20">
        <f t="shared" ca="1" si="13"/>
        <v>3</v>
      </c>
      <c r="S23" s="20">
        <f t="shared" ca="1" si="3"/>
        <v>41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44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3</v>
      </c>
      <c r="N24" s="20">
        <f t="shared" ca="1" si="2"/>
        <v>46</v>
      </c>
      <c r="O24" s="20" cm="1">
        <f t="array" aca="1" ref="O24" ca="1">IF(N24="","",IF(N24&lt;&gt;N23,1,IF(O23=misLíneas-2,0,O23+1)))</f>
        <v>4</v>
      </c>
      <c r="P24" s="20" t="str" cm="1">
        <f t="array" aca="1" ref="P24" ca="1">IF(OR(O24=0,O24=""),"",INDEX(misCriticidades,N24)&amp;"-"&amp;IFERROR(MATCH(O24,miOrdenTarjeta,0),0))</f>
        <v>3-4</v>
      </c>
      <c r="Q24" s="19">
        <f ca="1"/>
        <v>23</v>
      </c>
      <c r="R24" s="20">
        <f t="shared" ca="1" si="13"/>
        <v>3</v>
      </c>
      <c r="S24" s="20">
        <f t="shared" ca="1" si="3"/>
        <v>41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44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3</v>
      </c>
      <c r="N25" s="20">
        <f t="shared" ca="1" si="2"/>
        <v>46</v>
      </c>
      <c r="O25" s="20" cm="1">
        <f t="array" aca="1" ref="O25" ca="1">IF(N25="","",IF(N25&lt;&gt;N24,1,IF(O24=misLíneas-2,0,O24+1)))</f>
        <v>5</v>
      </c>
      <c r="P25" s="20" t="str" cm="1">
        <f t="array" aca="1" ref="P25" ca="1">IF(OR(O25=0,O25=""),"",INDEX(misCriticidades,N25)&amp;"-"&amp;IFERROR(MATCH(O25,miOrdenTarjeta,0),0))</f>
        <v>3-5</v>
      </c>
      <c r="Q25" s="19">
        <f ca="1"/>
        <v>24</v>
      </c>
      <c r="R25" s="20">
        <f t="shared" ca="1" si="13"/>
        <v>3</v>
      </c>
      <c r="S25" s="20">
        <f t="shared" ca="1" si="3"/>
        <v>41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44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3</v>
      </c>
      <c r="N26" s="20">
        <f t="shared" ca="1" si="2"/>
        <v>46</v>
      </c>
      <c r="O26" s="20" cm="1">
        <f t="array" aca="1" ref="O26" ca="1">IF(N26="","",IF(N26&lt;&gt;N25,1,IF(O25=misLíneas-2,0,O25+1)))</f>
        <v>6</v>
      </c>
      <c r="P26" s="20" t="str" cm="1">
        <f t="array" aca="1" ref="P26" ca="1">IF(OR(O26=0,O26=""),"",INDEX(misCriticidades,N26)&amp;"-"&amp;IFERROR(MATCH(O26,miOrdenTarjeta,0),0))</f>
        <v>3-6</v>
      </c>
      <c r="Q26" s="19">
        <f ca="1"/>
        <v>25</v>
      </c>
      <c r="R26" s="20">
        <f t="shared" ca="1" si="13"/>
        <v>3</v>
      </c>
      <c r="S26" s="20">
        <f t="shared" ca="1" si="3"/>
        <v>41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44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3</v>
      </c>
      <c r="N27" s="20">
        <f t="shared" ca="1" si="2"/>
        <v>46</v>
      </c>
      <c r="O27" s="20" cm="1">
        <f t="array" aca="1" ref="O27" ca="1">IF(N27="","",IF(N27&lt;&gt;N26,1,IF(O26=misLíneas-2,0,O26+1)))</f>
        <v>7</v>
      </c>
      <c r="P27" s="20" t="str" cm="1">
        <f t="array" aca="1" ref="P27" ca="1">IF(OR(O27=0,O27=""),"",INDEX(misCriticidades,N27)&amp;"-"&amp;IFERROR(MATCH(O27,miOrdenTarjeta,0),0))</f>
        <v>3-7</v>
      </c>
      <c r="Q27" s="19">
        <f ca="1"/>
        <v>26</v>
      </c>
      <c r="R27" s="20">
        <f t="shared" ca="1" si="13"/>
        <v>3</v>
      </c>
      <c r="S27" s="20">
        <f t="shared" ca="1" si="3"/>
        <v>41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44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3</v>
      </c>
      <c r="N28" s="20">
        <f t="shared" ca="1" si="2"/>
        <v>46</v>
      </c>
      <c r="O28" s="20" cm="1">
        <f t="array" aca="1" ref="O28" ca="1">IF(N28="","",IF(N28&lt;&gt;N27,1,IF(O27=misLíneas-2,0,O27+1)))</f>
        <v>8</v>
      </c>
      <c r="P28" s="20" t="str" cm="1">
        <f t="array" aca="1" ref="P28" ca="1">IF(OR(O28=0,O28=""),"",INDEX(misCriticidades,N28)&amp;"-"&amp;IFERROR(MATCH(O28,miOrdenTarjeta,0),0))</f>
        <v>3-8</v>
      </c>
      <c r="Q28" s="19">
        <f ca="1"/>
        <v>27</v>
      </c>
      <c r="R28" s="20">
        <f t="shared" ca="1" si="13"/>
        <v>3</v>
      </c>
      <c r="S28" s="20">
        <f t="shared" ca="1" si="3"/>
        <v>41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44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>
        <f t="shared" ca="1" si="2"/>
        <v>46</v>
      </c>
      <c r="O29" s="20" cm="1">
        <f t="array" aca="1" ref="O29" ca="1">IF(N29="","",IF(N29&lt;&gt;N28,1,IF(O28=misLíneas-2,0,O28+1)))</f>
        <v>0</v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41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43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1-1</v>
      </c>
      <c r="L30" s="19" t="str">
        <f ca="1"/>
        <v/>
      </c>
      <c r="M30" s="20">
        <f t="shared" ca="1" si="12"/>
        <v>4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40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43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1-2</v>
      </c>
      <c r="L31" s="19" t="str">
        <f ca="1"/>
        <v/>
      </c>
      <c r="M31" s="20">
        <f t="shared" ca="1" si="12"/>
        <v>4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40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43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1-3</v>
      </c>
      <c r="L32" s="19" t="str">
        <f ca="1"/>
        <v/>
      </c>
      <c r="M32" s="20">
        <f t="shared" ca="1" si="12"/>
        <v>4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40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43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1-4</v>
      </c>
      <c r="L33" s="19" t="str">
        <f ca="1"/>
        <v/>
      </c>
      <c r="M33" s="20">
        <f t="shared" ca="1" si="12"/>
        <v>4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40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43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1-5</v>
      </c>
      <c r="L34" s="19" t="str">
        <f ca="1"/>
        <v/>
      </c>
      <c r="M34" s="20">
        <f t="shared" ca="1" si="12"/>
        <v>4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40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43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1-6</v>
      </c>
      <c r="L35" s="19" t="str">
        <f ca="1"/>
        <v/>
      </c>
      <c r="M35" s="20">
        <f t="shared" ca="1" si="12"/>
        <v>4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40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43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1-7</v>
      </c>
      <c r="L36" s="19" t="str">
        <f ca="1"/>
        <v/>
      </c>
      <c r="M36" s="20">
        <f t="shared" ca="1" si="12"/>
        <v>4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40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43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1-8</v>
      </c>
      <c r="L37" s="19" t="str">
        <f ca="1"/>
        <v/>
      </c>
      <c r="M37" s="20">
        <f t="shared" ca="1" si="12"/>
        <v>4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40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43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4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40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42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1-1</v>
      </c>
      <c r="L39" s="19" t="str">
        <f ca="1"/>
        <v/>
      </c>
      <c r="M39" s="20">
        <f t="shared" ca="1" si="12"/>
        <v>4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39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42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1-2</v>
      </c>
      <c r="L40" s="19" t="str">
        <f ca="1"/>
        <v/>
      </c>
      <c r="M40" s="20">
        <f t="shared" ca="1" si="12"/>
        <v>4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39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42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1-3</v>
      </c>
      <c r="L41" s="19" t="str">
        <f ca="1"/>
        <v/>
      </c>
      <c r="M41" s="20">
        <f t="shared" ca="1" si="12"/>
        <v>4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39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42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1-4</v>
      </c>
      <c r="L42" s="19" t="str">
        <f ca="1"/>
        <v/>
      </c>
      <c r="M42" s="20">
        <f t="shared" ca="1" si="12"/>
        <v>4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39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>
        <f ca="1"/>
        <v>42</v>
      </c>
      <c r="H43" s="20">
        <f t="shared" ca="1" si="11"/>
        <v>5</v>
      </c>
      <c r="I43" s="20">
        <f t="shared" ca="1" si="22"/>
        <v>42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1-5</v>
      </c>
      <c r="L43" s="19" t="str">
        <f ca="1"/>
        <v/>
      </c>
      <c r="M43" s="20">
        <f t="shared" ca="1" si="12"/>
        <v>4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39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>
        <f ca="1"/>
        <v>43</v>
      </c>
      <c r="H44" s="20">
        <f t="shared" ca="1" si="11"/>
        <v>5</v>
      </c>
      <c r="I44" s="20">
        <f t="shared" ca="1" si="22"/>
        <v>42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1-6</v>
      </c>
      <c r="L44" s="19" t="str">
        <f ca="1"/>
        <v/>
      </c>
      <c r="M44" s="20">
        <f t="shared" ca="1" si="12"/>
        <v>4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39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>
        <f ca="1"/>
        <v>44</v>
      </c>
      <c r="H45" s="20">
        <f t="shared" ca="1" si="11"/>
        <v>5</v>
      </c>
      <c r="I45" s="20">
        <f t="shared" ca="1" si="22"/>
        <v>42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1-7</v>
      </c>
      <c r="L45" s="19" t="str">
        <f ca="1"/>
        <v/>
      </c>
      <c r="M45" s="20">
        <f t="shared" ca="1" si="12"/>
        <v>4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39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>
        <f ca="1"/>
        <v>45</v>
      </c>
      <c r="H46" s="20">
        <f t="shared" ca="1" si="11"/>
        <v>5</v>
      </c>
      <c r="I46" s="20">
        <f t="shared" ca="1" si="22"/>
        <v>42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1-8</v>
      </c>
      <c r="L46" s="19" t="str">
        <f ca="1"/>
        <v/>
      </c>
      <c r="M46" s="20">
        <f t="shared" ca="1" si="12"/>
        <v>4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39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42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>
        <f ca="1"/>
        <v>46</v>
      </c>
      <c r="M47" s="20">
        <f t="shared" ca="1" si="12"/>
        <v>4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39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8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3-1</v>
      </c>
      <c r="L48" s="19">
        <f ca="1"/>
        <v>47</v>
      </c>
      <c r="M48" s="20">
        <f t="shared" ca="1" si="12"/>
        <v>4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38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>
        <f ca="1"/>
        <v>48</v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8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3-2</v>
      </c>
      <c r="L49" s="19" t="str">
        <f ca="1"/>
        <v/>
      </c>
      <c r="M49" s="20">
        <f t="shared" ca="1" si="12"/>
        <v>4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38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>
        <f ca="1"/>
        <v>49</v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8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3-3</v>
      </c>
      <c r="L50" s="19" t="str">
        <f ca="1"/>
        <v/>
      </c>
      <c r="M50" s="20">
        <f t="shared" ca="1" si="12"/>
        <v>4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38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8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3-4</v>
      </c>
      <c r="L51" s="19">
        <f ca="1"/>
        <v>50</v>
      </c>
      <c r="M51" s="20">
        <f t="shared" ca="1" si="12"/>
        <v>4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38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8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3-5</v>
      </c>
      <c r="L52" s="19" t="str">
        <f ca="1"/>
        <v/>
      </c>
      <c r="M52" s="20">
        <f t="shared" ca="1" si="12"/>
        <v>4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38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>
        <f ca="1"/>
        <v>52</v>
      </c>
      <c r="H53" s="20">
        <f t="shared" ca="1" si="11"/>
        <v>6</v>
      </c>
      <c r="I53" s="20">
        <f t="shared" ca="1" si="22"/>
        <v>8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3-6</v>
      </c>
      <c r="L53" s="19" t="str">
        <f ca="1"/>
        <v/>
      </c>
      <c r="M53" s="20">
        <f t="shared" ca="1" si="12"/>
        <v>4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38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8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3-7</v>
      </c>
      <c r="L54" s="19" t="str">
        <f ca="1"/>
        <v/>
      </c>
      <c r="M54" s="20">
        <f t="shared" ca="1" si="12"/>
        <v>4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38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8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3-8</v>
      </c>
      <c r="L55" s="19" t="str">
        <f ca="1"/>
        <v/>
      </c>
      <c r="M55" s="20">
        <f t="shared" ca="1" si="12"/>
        <v>4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38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8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4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38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4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4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4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4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4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4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4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4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4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7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4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36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7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4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36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7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4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36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7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4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36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7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4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36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7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4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36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7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4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36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7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4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36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7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4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36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7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4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35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7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4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35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7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4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35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7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4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35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7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4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35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7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4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35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7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4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35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7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4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35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7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4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35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7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4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34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7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4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34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7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4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34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7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4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34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7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4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34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7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4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34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7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4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34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7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4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34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7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4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34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7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4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33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7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4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33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7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4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33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7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4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33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7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4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33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7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4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33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7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4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33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7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4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33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7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4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33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7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4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7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4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7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4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7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4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7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4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7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4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7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4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7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4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7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4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7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4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31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7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4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31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7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4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31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7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4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31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7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4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31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7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4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31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7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4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31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7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4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31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7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4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31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7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4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30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7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4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30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7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4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30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7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4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30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7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4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30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7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4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30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7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4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30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7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4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30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7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4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30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7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4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29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7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4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29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7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4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29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7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4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29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7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4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29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7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4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29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7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4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29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7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4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29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7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4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29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7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4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28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7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4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28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7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4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28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7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4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28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7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4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28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7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4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28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7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4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28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7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4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28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7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4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28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7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4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27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7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4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27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7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4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27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7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4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27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7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4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27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7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4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27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7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4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27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7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4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27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7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4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27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7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4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26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7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4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26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7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4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26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7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4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26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7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4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26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7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4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26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7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4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26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7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4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26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7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4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26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7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4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25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7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4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25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7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4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25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7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4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25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7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4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25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7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4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25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7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4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25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7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4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25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7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4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25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7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4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24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7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4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24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7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4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24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7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4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24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7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4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24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7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4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24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7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4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24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7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4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24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7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4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24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7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4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23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7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4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23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7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4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23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7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4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23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7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4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23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7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4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23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7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4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23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7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4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23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7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4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23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7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4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22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7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4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22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7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4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22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7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4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22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7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4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22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7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4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22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7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4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22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Kevin Andrès Cañola Marquez</cp:lastModifiedBy>
  <cp:revision>0</cp:revision>
  <dcterms:created xsi:type="dcterms:W3CDTF">2022-12-26T11:27:14Z</dcterms:created>
  <dcterms:modified xsi:type="dcterms:W3CDTF">2026-01-16T01:43:00Z</dcterms:modified>
  <cp:category/>
  <cp:contentStatus/>
</cp:coreProperties>
</file>