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519BCA9C-5818-4033-887D-967403C7545A}" xr6:coauthVersionLast="47" xr6:coauthVersionMax="47" xr10:uidLastSave="{00000000-0000-0000-0000-000000000000}"/>
  <workbookProtection lockStructure="1"/>
  <bookViews>
    <workbookView xWindow="-120" yWindow="-120" windowWidth="24240" windowHeight="130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D51" i="5" s="1" a="1"/>
  <c r="D51" i="5" s="1"/>
  <c r="H57" i="2"/>
  <c r="H51" i="2"/>
  <c r="I56" i="2" a="1"/>
  <c r="I56" i="2" s="1"/>
  <c r="H55" i="2"/>
  <c r="I54" i="2" a="1"/>
  <c r="I54" i="2" s="1"/>
  <c r="D54" i="5" s="1" a="1"/>
  <c r="D54" i="5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D60" i="5" s="1" a="1"/>
  <c r="D60" i="5" s="1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9" i="5" l="1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95" i="5"/>
  <c r="G92" i="5"/>
  <c r="G93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46" i="5"/>
  <c r="G7" i="5"/>
  <c r="G29" i="5"/>
  <c r="G22" i="5"/>
  <c r="G58" i="5"/>
  <c r="G70" i="5"/>
  <c r="G71" i="5"/>
  <c r="G66" i="5"/>
  <c r="G24" i="5"/>
  <c r="G98" i="5"/>
  <c r="G59" i="5"/>
  <c r="G14" i="5"/>
  <c r="G30" i="5"/>
  <c r="G54" i="5"/>
  <c r="G72" i="5"/>
  <c r="G37" i="5"/>
  <c r="G86" i="5"/>
  <c r="G91" i="5"/>
  <c r="G60" i="5"/>
  <c r="G63" i="5"/>
  <c r="G45" i="5"/>
  <c r="G20" i="5"/>
  <c r="G2" i="5"/>
  <c r="G94" i="5"/>
  <c r="G64" i="5"/>
  <c r="G9" i="5"/>
  <c r="G10" i="5"/>
  <c r="G61" i="5"/>
  <c r="G87" i="5"/>
  <c r="G31" i="5"/>
  <c r="G65" i="5"/>
  <c r="G51" i="5"/>
  <c r="G97" i="5"/>
  <c r="G42" i="5"/>
  <c r="G99" i="5"/>
  <c r="G38" i="5"/>
  <c r="G53" i="5"/>
  <c r="G75" i="5"/>
  <c r="G69" i="5"/>
  <c r="G89" i="5"/>
  <c r="G47" i="5"/>
  <c r="G68" i="5"/>
  <c r="G85" i="5"/>
  <c r="G84" i="5"/>
  <c r="G35" i="5"/>
  <c r="G52" i="5"/>
  <c r="G6" i="5"/>
  <c r="G32" i="5"/>
  <c r="G77" i="5"/>
  <c r="G8" i="5"/>
  <c r="G76" i="5"/>
  <c r="G4" i="5"/>
  <c r="G40" i="5"/>
  <c r="G27" i="5"/>
  <c r="G18" i="5"/>
  <c r="G25" i="5"/>
  <c r="G56" i="5"/>
  <c r="G67" i="5"/>
  <c r="G41" i="5"/>
  <c r="G5" i="5"/>
  <c r="G82" i="5"/>
  <c r="G23" i="5"/>
  <c r="G79" i="5"/>
  <c r="G17" i="5"/>
  <c r="G88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15" i="5"/>
  <c r="N35" i="5"/>
  <c r="E11" i="5"/>
  <c r="E35" i="5"/>
  <c r="M43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N48" i="5"/>
  <c r="N17" i="5"/>
  <c r="M25" i="5"/>
  <c r="M22" i="5"/>
  <c r="M46" i="5"/>
  <c r="M57" i="5"/>
  <c r="E9" i="5"/>
  <c r="E65" i="5"/>
  <c r="N81" i="5"/>
  <c r="M29" i="5"/>
  <c r="M8" i="5"/>
  <c r="E101" i="5"/>
  <c r="N85" i="5"/>
  <c r="M76" i="5"/>
  <c r="N95" i="5"/>
  <c r="E37" i="5"/>
  <c r="M38" i="5"/>
  <c r="N80" i="5"/>
  <c r="M63" i="5"/>
  <c r="N29" i="5"/>
  <c r="N30" i="5"/>
  <c r="N87" i="5"/>
  <c r="N4" i="5"/>
  <c r="E22" i="5"/>
  <c r="M54" i="5"/>
  <c r="N77" i="5"/>
  <c r="E51" i="5"/>
  <c r="N41" i="5"/>
  <c r="E80" i="5"/>
  <c r="N11" i="5"/>
  <c r="M9" i="5"/>
  <c r="E85" i="5"/>
  <c r="E24" i="5"/>
  <c r="N76" i="5"/>
  <c r="N101" i="5"/>
  <c r="M51" i="5"/>
  <c r="N46" i="5"/>
  <c r="N36" i="5"/>
  <c r="M44" i="5"/>
  <c r="N32" i="5"/>
  <c r="M58" i="5"/>
  <c r="E94" i="5"/>
  <c r="N89" i="5"/>
  <c r="N49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M15" i="5"/>
  <c r="M74" i="5"/>
  <c r="N27" i="5"/>
  <c r="M12" i="5"/>
  <c r="E44" i="5"/>
  <c r="M32" i="5"/>
  <c r="N9" i="5"/>
  <c r="E81" i="5"/>
  <c r="E49" i="5"/>
  <c r="N67" i="5"/>
  <c r="N51" i="5"/>
  <c r="N14" i="5"/>
  <c r="N44" i="5"/>
  <c r="E66" i="5"/>
  <c r="M67" i="5"/>
  <c r="M101" i="5"/>
  <c r="N93" i="5"/>
  <c r="M30" i="5"/>
  <c r="N62" i="5"/>
  <c r="E61" i="5"/>
  <c r="N68" i="5"/>
  <c r="N52" i="5"/>
  <c r="E20" i="5"/>
  <c r="M52" i="5"/>
  <c r="M18" i="5"/>
  <c r="N38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E59" i="5"/>
  <c r="N90" i="5"/>
  <c r="N37" i="5"/>
  <c r="N26" i="5"/>
  <c r="E5" i="5"/>
  <c r="N8" i="5"/>
  <c r="M5" i="5"/>
  <c r="M92" i="5"/>
  <c r="M80" i="5"/>
  <c r="E6" i="5"/>
  <c r="N21" i="5"/>
  <c r="E60" i="5"/>
  <c r="E16" i="5"/>
  <c r="M60" i="5"/>
  <c r="N78" i="5"/>
  <c r="M50" i="5"/>
  <c r="E4" i="5"/>
  <c r="E90" i="5"/>
  <c r="M6" i="5"/>
  <c r="M13" i="5"/>
  <c r="E83" i="5"/>
  <c r="N33" i="5"/>
  <c r="N2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L11" i="5"/>
  <c r="J73" i="5"/>
  <c r="L77" i="5"/>
  <c r="J42" i="5"/>
  <c r="L73" i="5"/>
  <c r="J97" i="5"/>
  <c r="J29" i="5"/>
  <c r="J13" i="5"/>
  <c r="L23" i="5"/>
  <c r="J68" i="5"/>
  <c r="L53" i="5"/>
  <c r="L12" i="5"/>
  <c r="J63" i="5"/>
  <c r="L64" i="5"/>
  <c r="J96" i="5"/>
  <c r="L68" i="5"/>
  <c r="L15" i="5"/>
  <c r="L65" i="5"/>
  <c r="J34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J31" i="5"/>
  <c r="L66" i="5"/>
  <c r="J45" i="5"/>
  <c r="J79" i="5"/>
  <c r="L21" i="5"/>
  <c r="J17" i="5"/>
  <c r="L78" i="5"/>
  <c r="J55" i="5"/>
  <c r="L32" i="5"/>
  <c r="J77" i="5"/>
  <c r="L101" i="5"/>
  <c r="J89" i="5"/>
  <c r="J57" i="5"/>
  <c r="J76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19" i="5"/>
  <c r="J93" i="5"/>
  <c r="J80" i="5"/>
  <c r="L25" i="5"/>
  <c r="L8" i="5"/>
  <c r="J95" i="5"/>
  <c r="L82" i="5"/>
  <c r="J8" i="5"/>
  <c r="J43" i="5"/>
  <c r="J5" i="5"/>
  <c r="L57" i="5"/>
  <c r="J7" i="5"/>
  <c r="J41" i="5"/>
  <c r="J72" i="5"/>
  <c r="J94" i="5"/>
  <c r="L24" i="5"/>
  <c r="L93" i="5"/>
  <c r="J53" i="5"/>
  <c r="J9" i="5"/>
  <c r="J35" i="5"/>
  <c r="J86" i="5"/>
  <c r="L74" i="5"/>
  <c r="L94" i="5"/>
  <c r="J44" i="5"/>
  <c r="J28" i="5"/>
  <c r="L75" i="5"/>
  <c r="L17" i="5"/>
  <c r="J27" i="5"/>
  <c r="L49" i="5"/>
  <c r="J98" i="5"/>
  <c r="J61" i="5"/>
  <c r="L44" i="5"/>
  <c r="L95" i="5"/>
  <c r="J18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L9" i="5"/>
  <c r="J52" i="5"/>
  <c r="L70" i="5"/>
  <c r="L89" i="5"/>
  <c r="J15" i="5"/>
  <c r="L99" i="5"/>
  <c r="J24" i="5"/>
  <c r="J33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46" i="5"/>
  <c r="K67" i="5"/>
  <c r="K77" i="5"/>
  <c r="K14" i="5"/>
  <c r="K96" i="5"/>
  <c r="K16" i="5"/>
  <c r="K80" i="5"/>
  <c r="K2" i="5"/>
  <c r="K50" i="5"/>
  <c r="K38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25" i="5"/>
  <c r="K30" i="5"/>
  <c r="K32" i="5"/>
  <c r="K28" i="5"/>
  <c r="K5" i="5"/>
  <c r="K78" i="5"/>
  <c r="K100" i="5"/>
  <c r="K72" i="5"/>
  <c r="K89" i="5"/>
  <c r="K36" i="5"/>
  <c r="K88" i="5"/>
  <c r="K51" i="5"/>
  <c r="K48" i="5"/>
  <c r="K17" i="5"/>
  <c r="K12" i="5"/>
  <c r="K13" i="5"/>
  <c r="K73" i="5"/>
  <c r="K71" i="5"/>
  <c r="K85" i="5"/>
  <c r="K42" i="5"/>
  <c r="K84" i="5"/>
  <c r="K26" i="5"/>
  <c r="K74" i="5"/>
  <c r="K58" i="5"/>
  <c r="K79" i="5"/>
  <c r="K22" i="5"/>
  <c r="K97" i="5"/>
  <c r="K35" i="5"/>
  <c r="K34" i="5"/>
  <c r="K76" i="5"/>
  <c r="K23" i="5"/>
  <c r="K64" i="5"/>
  <c r="K56" i="5"/>
  <c r="K4" i="5"/>
  <c r="K91" i="5"/>
  <c r="K81" i="5"/>
  <c r="K18" i="5"/>
  <c r="K1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64" i="5"/>
  <c r="I38" i="5"/>
  <c r="I33" i="5"/>
  <c r="I61" i="5"/>
  <c r="I49" i="5"/>
  <c r="I91" i="5"/>
  <c r="I11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75" i="5"/>
  <c r="I96" i="5"/>
  <c r="I52" i="5"/>
  <c r="I37" i="5"/>
  <c r="I2" i="5"/>
  <c r="I101" i="5"/>
  <c r="I99" i="5"/>
  <c r="I66" i="5"/>
  <c r="I46" i="5"/>
  <c r="I15" i="5"/>
  <c r="I88" i="5"/>
  <c r="I7" i="5"/>
  <c r="I93" i="5"/>
  <c r="I28" i="5"/>
  <c r="I12" i="5"/>
  <c r="I45" i="5"/>
  <c r="I56" i="5"/>
  <c r="I87" i="5"/>
  <c r="I65" i="5"/>
  <c r="I30" i="5"/>
  <c r="I34" i="5"/>
  <c r="I39" i="5"/>
  <c r="I26" i="5"/>
  <c r="I13" i="5"/>
  <c r="I72" i="5"/>
  <c r="I97" i="5"/>
  <c r="I50" i="5"/>
  <c r="I43" i="5"/>
  <c r="I86" i="5"/>
  <c r="I31" i="5"/>
  <c r="I54" i="5"/>
  <c r="I40" i="5"/>
  <c r="I5" i="5"/>
  <c r="I53" i="5"/>
  <c r="I95" i="5"/>
  <c r="I21" i="5"/>
  <c r="I68" i="5"/>
  <c r="I55" i="5"/>
  <c r="I59" i="5"/>
  <c r="I58" i="5"/>
  <c r="I4" i="5"/>
  <c r="I92" i="5"/>
  <c r="I48" i="5"/>
  <c r="I42" i="5"/>
  <c r="I8" i="5"/>
  <c r="I22" i="5"/>
  <c r="I9" i="5"/>
  <c r="I10" i="5"/>
  <c r="I25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46" i="5"/>
  <c r="F62" i="5"/>
  <c r="F6" i="5"/>
  <c r="F16" i="5"/>
  <c r="F82" i="5"/>
  <c r="F67" i="5"/>
  <c r="F2" i="5"/>
  <c r="F18" i="5"/>
  <c r="F51" i="5"/>
  <c r="F14" i="5"/>
  <c r="F65" i="5"/>
  <c r="F69" i="5"/>
  <c r="F26" i="5"/>
  <c r="F71" i="5"/>
  <c r="F9" i="5"/>
  <c r="F70" i="5"/>
  <c r="F33" i="5"/>
  <c r="F24" i="5"/>
  <c r="F97" i="5"/>
  <c r="F72" i="5"/>
  <c r="F89" i="5"/>
  <c r="F34" i="5"/>
  <c r="F56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17" i="5"/>
  <c r="F79" i="5"/>
  <c r="F74" i="5"/>
  <c r="F78" i="5"/>
  <c r="F85" i="5"/>
  <c r="F58" i="5"/>
  <c r="F83" i="5"/>
  <c r="F36" i="5"/>
  <c r="F4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80" i="5"/>
  <c r="F92" i="5"/>
  <c r="F76" i="5"/>
  <c r="F42" i="5"/>
  <c r="F73" i="5"/>
  <c r="F90" i="5"/>
  <c r="F101" i="5"/>
  <c r="F19" i="5"/>
  <c r="F44" i="5"/>
  <c r="F38" i="5"/>
  <c r="F39" i="5"/>
  <c r="F54" i="5"/>
  <c r="F30" i="5"/>
  <c r="F68" i="5"/>
  <c r="F66" i="5"/>
  <c r="F95" i="5"/>
  <c r="F43" i="5"/>
  <c r="F2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7" i="5"/>
  <c r="H82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3" i="5"/>
  <c r="H22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79" i="5"/>
  <c r="H70" i="5"/>
  <c r="H52" i="5"/>
  <c r="H59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39" i="5"/>
  <c r="H10" i="5"/>
  <c r="H76" i="5"/>
  <c r="H49" i="5"/>
  <c r="H73" i="5"/>
  <c r="H45" i="5"/>
  <c r="H35" i="5"/>
  <c r="H61" i="5"/>
  <c r="H50" i="5"/>
  <c r="H69" i="5"/>
  <c r="H96" i="5"/>
  <c r="H99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<sst xmlns="http://schemas.openxmlformats.org/spreadsheetml/2006/main" count="321" uniqueCount="253">
  <si>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</si>
  <si>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</si>
  <si>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</si>
  <si>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</si>
  <si>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</si>
  <si>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</si>
  <si>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</si>
  <si>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</si>
  <si>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</si>
  <si>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</si>
  <si>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</si>
  <si>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</si>
  <si>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</si>
  <si>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</si>
  <si>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</si>
  <si>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</si>
  <si>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</si>
  <si>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</si>
  <si>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</si>
  <si>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</si>
  <si>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</si>
  <si>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</si>
  <si>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</si>
  <si>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</si>
  <si>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</si>
  <si>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</si>
  <si>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</si>
  <si>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</si>
  <si>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</si>
  <si>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</si>
  <si>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</si>
  <si>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</si>
  <si>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</si>
  <si>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</si>
  <si>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</si>
  <si>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</si>
  <si>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</si>
  <si>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</si>
  <si>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</si>
  <si>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</si>
  <si>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</si>
  <si>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</si>
  <si>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</si>
  <si>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</si>
  <si>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</si>
  <si>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</si>
  <si>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</si>
  <si>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</si>
  <si>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</si>
  <si>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</si>
  <si>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</si>
  <si>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</si>
  <si>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</si>
  <si>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</si>
  <si>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</si>
  <si>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</si>
  <si>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</si>
  <si>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</si>
  <si>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</si>
  <si>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</si>
  <si>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</si>
  <si>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</si>
  <si>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</si>
  <si>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</si>
  <si>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</si>
  <si>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</si>
  <si>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</si>
  <si>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</si>
  <si>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</si>
  <si>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</si>
  <si>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</si>
  <si>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</si>
  <si>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</si>
  <si>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</si>
  <si>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</si>
  <si>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</si>
  <si>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</si>
  <si>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</si>
  <si>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</si>
  <si>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</si>
  <si>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</si>
  <si>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</si>
  <si>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</si>
  <si>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</si>
  <si>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</si>
  <si>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</si>
  <si>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</si>
  <si>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</si>
  <si>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</si>
  <si>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</si>
  <si>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</si>
  <si>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</si>
  <si>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</si>
  <si>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</si>
  <si>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</si>
  <si>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</si>
  <si>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</si>
  <si>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</si>
  <si>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</si>
  <si>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</si>
  <si>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</si>
  <si>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</si>
  <si>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</si>
  <si>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</si>
  <si>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</si>
  <si>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</si>
  <si>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</si>
  <si>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</si>
  <si>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</si>
  <si>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</si>
  <si>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</si>
  <si>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</si>
  <si>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</si>
  <si>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</si>
  <si>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</si>
  <si>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</si>
  <si>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</si>
  <si>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</si>
  <si>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</si>
  <si>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</si>
  <si>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</si>
  <si>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</si>
  <si>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</si>
  <si>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</si>
  <si>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</si>
  <si>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</si>
  <si>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</si>
  <si>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</si>
  <si>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</si>
  <si>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</si>
  <si>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</si>
  <si>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</si>
  <si>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</si>
  <si>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</si>
  <si>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</si>
  <si>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</si>
  <si>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</si>
  <si>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</si>
  <si>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</si>
  <si>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</si>
  <si>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</si>
  <si>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</si>
  <si>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</si>
  <si>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</si>
  <si>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</si>
  <si>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</si>
  <si>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</si>
  <si>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</si>
  <si>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</si>
  <si>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</si>
  <si>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</si>
  <si>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</si>
  <si>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</si>
  <si>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</si>
  <si>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</si>
  <si>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</si>
  <si>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</si>
  <si>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</si>
  <si>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</si>
  <si>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</si>
  <si>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</si>
  <si>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</si>
  <si>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</si>
  <si>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</si>
  <si>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</si>
  <si>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</si>
  <si>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</si>
  <si>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</si>
  <si>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</si>
  <si>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</si>
  <si>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</si>
  <si>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</si>
  <si>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</si>
  <si>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</si>
  <si>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</si>
  <si>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</si>
  <si>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</si>
  <si>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</si>
  <si>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</si>
  <si>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</si>
  <si>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</si>
  <si>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</si>
  <si>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</si>
  <si>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</si>
  <si>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</si>
  <si>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</si>
  <si>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</si>
  <si>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</si>
  <si>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</si>
  <si>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</si>
  <si>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</si>
  <si>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</si>
  <si>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</si>
  <si>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</si>
  <si>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</si>
  <si>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</si>
  <si>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</si>
  <si>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</si>
  <si>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</si>
  <si>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</si>
  <si>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</si>
  <si>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</si>
  <si>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</si>
  <si>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</si>
  <si>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</si>
  <si>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</si>
  <si>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</si>
  <si>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</si>
  <si>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</si>
  <si>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</si>
  <si>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</si>
  <si>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</si>
  <si>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</si>
  <si>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</si>
  <si>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</si>
  <si>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</si>
  <si>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</si>
  <si>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</si>
  <si>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Desarrollo de la introducción del PP</t>
  </si>
  <si>
    <t>Plantear el problema de nuestro proyecto</t>
  </si>
  <si>
    <t>Plantear los objetivos a cumplir</t>
  </si>
  <si>
    <t>Redactar el alcance de proyecto</t>
  </si>
  <si>
    <t>Ing. Jenny Ruiz</t>
  </si>
  <si>
    <t>Kevin Cañola</t>
  </si>
  <si>
    <t>Mateo Lugmaña</t>
  </si>
  <si>
    <t>Eduardo Tasiguano</t>
  </si>
  <si>
    <t>Cristhian Marcalla</t>
  </si>
  <si>
    <t>Cañola, Lugmaña, Tasiguano, Marcalla</t>
  </si>
  <si>
    <t>Lista de Interesados</t>
  </si>
  <si>
    <t>Preguntas Entrevistas</t>
  </si>
  <si>
    <t>Perfil Proyecto</t>
  </si>
  <si>
    <t>FODA</t>
  </si>
  <si>
    <t>Video Entrevista 1</t>
  </si>
  <si>
    <t>MP3 Entrevista</t>
  </si>
  <si>
    <t xml:space="preserve"> </t>
  </si>
  <si>
    <t>Preguntas Entrevistas 2</t>
  </si>
  <si>
    <t>Elaboracion de Matriz de HU</t>
  </si>
  <si>
    <t>REQ001 Ingreso de Datos</t>
  </si>
  <si>
    <t>Entrevista en audio</t>
  </si>
  <si>
    <t>Grabacion del video de la entrevista</t>
  </si>
  <si>
    <t>Entrevista 2</t>
  </si>
  <si>
    <t>REQ002 Registro de Clientes</t>
  </si>
  <si>
    <t>REQ003 Busqueda de clientes</t>
  </si>
  <si>
    <t>REQ004 Modificacion de Clientes</t>
  </si>
  <si>
    <t>REQ005 Eliminacion de Clientes</t>
  </si>
  <si>
    <t>REQ006 Registro de Productos</t>
  </si>
  <si>
    <t>REQ007 Busqueda de Productos</t>
  </si>
  <si>
    <t>REQ008 Modificación de Productos</t>
  </si>
  <si>
    <t>REQ009 Eliminacion de Productos</t>
  </si>
  <si>
    <t>REQ010 Proformas de cotizacion</t>
  </si>
  <si>
    <t>REQ011 HISTORIAL DE PROFORMAS</t>
  </si>
  <si>
    <t>REQ012 Envio de proformas por correo</t>
  </si>
  <si>
    <t>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</si>
</sst>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95" activePane="bottomLeft" state="frozen"/>
      <selection pane="bottomLeft" activeCell="S98" sqref="S98:T9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1" t="str">
        <f>Configura!$B$2</f>
        <v xml:space="preserve">                Tablero KANBAN v3 ©️            </v>
      </c>
      <c r="C2" s="111"/>
      <c r="D2" s="111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21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(4 de 21)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(1 de 21)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21)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(16 de 21)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21)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21)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21)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21)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21)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21)</v>
      </c>
      <c r="AW4" s="114"/>
      <c r="AX4" s="114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20:</v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REQ009 Eliminacion de Productos</v>
      </c>
      <c r="E6" s="112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8:</v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Preguntas Entrevistas 2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2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2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2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0</v>
      </c>
      <c r="E8" s="112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2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0</v>
      </c>
      <c r="E9" s="112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2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12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2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0</v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Eduardo Tasiguano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19:</v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REQ008 Modificación de Productos</v>
      </c>
      <c r="E15" s="112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2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16: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REQ005 Eliminacion de Clientes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2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0</v>
      </c>
      <c r="E16" s="112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2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2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0</v>
      </c>
      <c r="E17" s="112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2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0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2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0</v>
      </c>
      <c r="E18" s="112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2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0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2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12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2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0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2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/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2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/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2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0</v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0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18:</v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REQ007 Busqueda de Productos</v>
      </c>
      <c r="E24" s="112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15: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REQ004 Modificacion de Clientes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2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0</v>
      </c>
      <c r="E25" s="112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2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0</v>
      </c>
      <c r="E26" s="112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0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2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0</v>
      </c>
      <c r="E27" s="112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0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2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12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0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/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/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2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0</v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Mateo Lugmaña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17:</v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REQ006 Registro de Productos</v>
      </c>
      <c r="E33" s="112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14: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 Busqueda de clientes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12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0</v>
      </c>
      <c r="E34" s="112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12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0</v>
      </c>
      <c r="E35" s="112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0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12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0</v>
      </c>
      <c r="E36" s="112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0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12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0</v>
      </c>
      <c r="E37" s="112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0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/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/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12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0</v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Eduardo Tasiguano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13: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REQ002 Registro de Clientes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0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0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0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/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/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Eduardo Tasiguano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12: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REQ001 Ingreso de Datos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45994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46001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45996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Kevin Cañola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11:</v>
      </c>
      <c r="S60" s="112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0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0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0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0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Kevin Cañola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10: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Elaboracion de Matriz de HU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0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0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0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Cañola, Lugmaña, Tasiguano, Marcalla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9: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Entrevista 2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 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0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0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0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Cañola, Lugmaña, Tasiguano, Marcalla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7: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Elaboracion de Matriz de HU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0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0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0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Cañola, Lugmaña, Tasiguano, Marcalla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MP3 Entrevista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Entrevista en audio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45951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45951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45951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Mateo Lugmaña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Video Entrevista 1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Grabacion del video de la entrevista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45951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45951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45951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Cañola, Lugmaña, Tasiguano, Marcalla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FODA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Redactar el alcance de proyecto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45950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45951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45951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Mateo Lugmaña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Perfil Proyecto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Plantear los objetivos a cumplir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45949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45951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45951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Kevin Cañola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2:</v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Preguntas Entrevistas</v>
      </c>
      <c r="T132" s="11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Plantear el problema de nuestro proyecto</v>
      </c>
      <c r="T133" s="11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45949</v>
      </c>
      <c r="T134" s="11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45950</v>
      </c>
      <c r="T135" s="11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45950</v>
      </c>
      <c r="T136" s="11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Cristhian Marcalla</v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1:</v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Lista de Interesados</v>
      </c>
      <c r="T141" s="11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Desarrollo de la introducción del PP</v>
      </c>
      <c r="T142" s="11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45948</v>
      </c>
      <c r="T143" s="11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45949</v>
      </c>
      <c r="T144" s="11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45949</v>
      </c>
      <c r="T145" s="11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Cristhian Marcalla</v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2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2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2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2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2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2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2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2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2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2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2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2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2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2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2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2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2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2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2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2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2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2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2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2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2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2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2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2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2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2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2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2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2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2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2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2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2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2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2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2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2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B1" zoomScale="122" zoomScaleNormal="122" workbookViewId="0">
      <pane ySplit="1" topLeftCell="A8" activePane="bottomLeft" state="frozen"/>
      <selection pane="bottomLeft" activeCell="J16" sqref="J16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8</v>
      </c>
      <c r="C2" s="104" t="s">
        <v>228</v>
      </c>
      <c r="D2" s="102" t="s">
        <v>218</v>
      </c>
      <c r="E2" s="103">
        <v>45948</v>
      </c>
      <c r="F2" s="93">
        <v>45949</v>
      </c>
      <c r="G2" s="93">
        <v>45949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3</v>
      </c>
      <c r="C3" s="3" t="s">
        <v>229</v>
      </c>
      <c r="D3" s="104" t="s">
        <v>219</v>
      </c>
      <c r="E3" s="103">
        <v>45949</v>
      </c>
      <c r="F3" s="93">
        <v>45950</v>
      </c>
      <c r="G3" s="93">
        <v>45950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230</v>
      </c>
      <c r="D4" s="92" t="s">
        <v>220</v>
      </c>
      <c r="E4" s="103">
        <v>45949</v>
      </c>
      <c r="F4" s="93">
        <v>45951</v>
      </c>
      <c r="G4" s="93">
        <v>45951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3" t="s">
        <v>231</v>
      </c>
      <c r="D5" s="95" t="s">
        <v>221</v>
      </c>
      <c r="E5" s="93">
        <v>45950</v>
      </c>
      <c r="F5" s="93">
        <v>45951</v>
      </c>
      <c r="G5" s="93">
        <v>45951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5</v>
      </c>
      <c r="B6" s="92" t="s">
        <v>3</v>
      </c>
      <c r="C6" s="106" t="s">
        <v>232</v>
      </c>
      <c r="D6" s="102" t="s">
        <v>239</v>
      </c>
      <c r="E6" s="93">
        <v>45951</v>
      </c>
      <c r="F6" s="93">
        <v>45951</v>
      </c>
      <c r="G6" s="93">
        <v>45951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227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/>
      <c r="C7" s="105" t="s">
        <v>233</v>
      </c>
      <c r="D7" s="95" t="s">
        <v>238</v>
      </c>
      <c r="E7" s="93">
        <v>45951</v>
      </c>
      <c r="F7" s="93">
        <v>45951</v>
      </c>
      <c r="G7" s="93">
        <v>45951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5</v>
      </c>
      <c r="B8" s="92"/>
      <c r="C8" s="105" t="s">
        <v>236</v>
      </c>
      <c r="D8" s="102"/>
      <c r="E8" s="109"/>
      <c r="F8" s="93"/>
      <c r="G8" s="109"/>
      <c r="H8" s="43" t="str">
        <f>IF(Datos!$G8&gt;0,Datos!$G8-Datos!$E8+1 &amp; " " &amp; Idiomas!$A$29,"")</f>
        <v/>
      </c>
      <c r="I8" s="43" t="str" cm="1">
        <f t="array" ref="I8">IF(OR(Datos!$G8="",Datos!$A8=""),"",IF(AND(Datos!$G8=0,Datos!$F8&gt;0,Fecha_Hoy&gt;Datos!$F8),Fecha_Hoy-Datos!$F8,IF(Datos!$F8&lt;Datos!$G8,Datos!$G8-Datos!$F8,0))&amp; " " &amp; Idiomas!$A$29)</f>
        <v/>
      </c>
      <c r="J8" s="92" t="s">
        <v>227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7</v>
      </c>
      <c r="B9" s="95"/>
      <c r="C9" s="106" t="s">
        <v>235</v>
      </c>
      <c r="D9" s="95"/>
      <c r="E9" s="96"/>
      <c r="F9" s="96"/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225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/>
      <c r="C10" s="106" t="s">
        <v>240</v>
      </c>
      <c r="D10" s="92" t="s">
        <v>234</v>
      </c>
      <c r="E10" s="93"/>
      <c r="F10" s="93"/>
      <c r="G10" s="93"/>
      <c r="H10" s="43" t="str">
        <f>IF(Datos!$G10&gt;0,Datos!$G10-Datos!$E10+1 &amp; " " &amp; Idiomas!$A$29,"")</f>
        <v/>
      </c>
      <c r="I10" s="43" t="str" cm="1">
        <f t="array" ref="I10">IF(OR(Datos!$G10="",Datos!$A10=""),"",IF(AND(Datos!$G10=0,Datos!$F10&gt;0,Fecha_Hoy&gt;Datos!$F10),Fecha_Hoy-Datos!$F10,IF(Datos!$F10&lt;Datos!$G10,Datos!$G10-Datos!$F10,0))&amp; " " &amp; Idiomas!$A$29)</f>
        <v/>
      </c>
      <c r="J10" s="92" t="s">
        <v>227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/>
      <c r="C11" s="105" t="s">
        <v>236</v>
      </c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 t="s">
        <v>227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25">
      <c r="A12" s="91" t="s">
        <v>5</v>
      </c>
      <c r="B12" s="92"/>
      <c r="C12" s="106"/>
      <c r="D12" s="10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 t="s">
        <v>223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25">
      <c r="A13" s="94" t="s">
        <v>5</v>
      </c>
      <c r="B13" s="95"/>
      <c r="C13" s="105" t="s">
        <v>237</v>
      </c>
      <c r="D13" s="104"/>
      <c r="E13" s="110">
        <v>45994</v>
      </c>
      <c r="F13" s="110">
        <v>46001</v>
      </c>
      <c r="G13" s="110">
        <v>45996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223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5</v>
      </c>
      <c r="B14" s="92"/>
      <c r="C14" s="105" t="s">
        <v>241</v>
      </c>
      <c r="D14" s="102"/>
      <c r="E14" s="109"/>
      <c r="F14" s="93"/>
      <c r="G14" s="109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 t="s">
        <v>225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/>
      <c r="C15" s="105" t="s">
        <v>242</v>
      </c>
      <c r="D15" s="95"/>
      <c r="E15" s="110"/>
      <c r="F15" s="96"/>
      <c r="G15" s="110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 t="s">
        <v>225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5</v>
      </c>
      <c r="B16" s="92"/>
      <c r="C16" s="105" t="s">
        <v>243</v>
      </c>
      <c r="D16" s="102"/>
      <c r="E16" s="109"/>
      <c r="F16" s="109"/>
      <c r="G16" s="109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 t="s">
        <v>224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5</v>
      </c>
      <c r="B17" s="95"/>
      <c r="C17" s="105" t="s">
        <v>244</v>
      </c>
      <c r="D17" s="104"/>
      <c r="E17" s="110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9</v>
      </c>
      <c r="B18" s="92"/>
      <c r="C18" s="105" t="s">
        <v>245</v>
      </c>
      <c r="D18" s="92"/>
      <c r="E18" s="109"/>
      <c r="F18" s="109"/>
      <c r="G18" s="109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9</v>
      </c>
      <c r="B19" s="95"/>
      <c r="C19" s="105" t="s">
        <v>246</v>
      </c>
      <c r="D19" s="95"/>
      <c r="E19" s="110"/>
      <c r="F19" s="110"/>
      <c r="G19" s="110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9</v>
      </c>
      <c r="B20" s="92"/>
      <c r="C20" s="108" t="s">
        <v>247</v>
      </c>
      <c r="D20" s="92"/>
      <c r="E20" s="109"/>
      <c r="F20" s="109"/>
      <c r="G20" s="109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9</v>
      </c>
      <c r="B21" s="95"/>
      <c r="C21" s="107" t="s">
        <v>248</v>
      </c>
      <c r="D21" s="104"/>
      <c r="E21" s="110"/>
      <c r="F21" s="110"/>
      <c r="G21" s="110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/>
      <c r="B22" s="92"/>
      <c r="C22" s="108" t="s">
        <v>249</v>
      </c>
      <c r="D22" s="92"/>
      <c r="E22" s="109"/>
      <c r="F22" s="109"/>
      <c r="G22" s="109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5" t="s">
        <v>250</v>
      </c>
      <c r="D23" s="95"/>
      <c r="E23" s="110"/>
      <c r="F23" s="110"/>
      <c r="G23" s="110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8" t="s">
        <v>251</v>
      </c>
      <c r="D24" s="92"/>
      <c r="E24" s="109"/>
      <c r="F24" s="109"/>
      <c r="G24" s="109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5" t="s">
        <v>252</v>
      </c>
      <c r="D25" s="95"/>
      <c r="E25" s="110"/>
      <c r="F25" s="110"/>
      <c r="G25" s="110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8"/>
      <c r="D26" s="92"/>
      <c r="E26" s="109"/>
      <c r="F26" s="109"/>
      <c r="G26" s="109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5"/>
      <c r="D27" s="95"/>
      <c r="E27" s="110"/>
      <c r="F27" s="110"/>
      <c r="G27" s="110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8"/>
      <c r="D28" s="92"/>
      <c r="E28" s="109"/>
      <c r="F28" s="109"/>
      <c r="G28" s="109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5"/>
      <c r="D29" s="95"/>
      <c r="E29" s="110"/>
      <c r="F29" s="110"/>
      <c r="G29" s="110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8"/>
      <c r="D30" s="92"/>
      <c r="E30" s="109"/>
      <c r="F30" s="109"/>
      <c r="G30" s="109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5"/>
      <c r="D31" s="95"/>
      <c r="E31" s="110"/>
      <c r="F31" s="110"/>
      <c r="G31" s="110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8"/>
      <c r="D32" s="92"/>
      <c r="E32" s="109"/>
      <c r="F32" s="109"/>
      <c r="G32" s="109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5"/>
      <c r="D33" s="95"/>
      <c r="E33" s="110"/>
      <c r="F33" s="110"/>
      <c r="G33" s="110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8"/>
      <c r="D34" s="92"/>
      <c r="E34" s="109"/>
      <c r="F34" s="109"/>
      <c r="G34" s="109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5"/>
      <c r="D35" s="95"/>
      <c r="E35" s="110"/>
      <c r="F35" s="110"/>
      <c r="G35" s="110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8"/>
      <c r="D36" s="92"/>
      <c r="E36" s="109"/>
      <c r="F36" s="109"/>
      <c r="G36" s="109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5"/>
      <c r="D37" s="95"/>
      <c r="E37" s="110"/>
      <c r="F37" s="110"/>
      <c r="G37" s="110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8"/>
      <c r="D38" s="92"/>
      <c r="E38" s="109"/>
      <c r="F38" s="109"/>
      <c r="G38" s="109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5"/>
      <c r="D39" s="95"/>
      <c r="E39" s="110"/>
      <c r="F39" s="110"/>
      <c r="G39" s="110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8"/>
      <c r="D40" s="92"/>
      <c r="E40" s="109"/>
      <c r="F40" s="109"/>
      <c r="G40" s="109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5"/>
      <c r="D41" s="95"/>
      <c r="E41" s="110"/>
      <c r="F41" s="110"/>
      <c r="G41" s="110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8"/>
      <c r="D42" s="92"/>
      <c r="E42" s="109"/>
      <c r="F42" s="109"/>
      <c r="G42" s="109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8:E101">
    <cfRule type="expression" dxfId="14" priority="2" stopIfTrue="1">
      <formula>AND($A8&lt;&gt;"",$E8="")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D18" sqref="D18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1" t="str">
        <f>"                " &amp; Idiomas!$A$2 &amp; " v3 ©️            "</f>
        <v xml:space="preserve">                Tablero KANBAN v3 ©️            </v>
      </c>
      <c r="C2" s="111"/>
      <c r="E2" s="7" t="s">
        <v>12</v>
      </c>
      <c r="F2" s="118" t="str">
        <f>Idiomas!$A$2 &amp; " | #ExcelPedroWave"</f>
        <v>Tablero KANBAN | #ExcelPedroWave</v>
      </c>
      <c r="G2" s="118"/>
      <c r="H2" s="118"/>
    </row>
    <row r="3" spans="2:9" ht="15" customHeight="1" x14ac:dyDescent="0.25">
      <c r="E3" s="8" t="s">
        <v>13</v>
      </c>
      <c r="F3" s="118" t="s">
        <v>14</v>
      </c>
      <c r="G3" s="118"/>
      <c r="H3" s="118"/>
    </row>
    <row r="4" spans="2:9" x14ac:dyDescent="0.25">
      <c r="B4" s="89" t="str">
        <f>Idiomas!$A$3</f>
        <v>Idioma</v>
      </c>
      <c r="E4" s="8" t="s">
        <v>15</v>
      </c>
      <c r="F4" s="119" t="s">
        <v>16</v>
      </c>
      <c r="G4" s="119"/>
      <c r="H4" s="119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223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224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225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226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227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222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5" t="s">
        <v>21</v>
      </c>
      <c r="C23" s="116"/>
      <c r="D23" s="117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R-141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R-141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R141:R148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R-132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R-132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R132:R139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R-123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R-123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R123:R130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R-114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R-114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R114:R121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R-105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R-105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R105:R112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0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R-96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R-96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R96:R103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0</v>
      </c>
      <c r="D8" s="53" cm="1">
        <f t="array" ref="D8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R-87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R-87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R87:R94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H-6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H6:H13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R-78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R-78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R78:R85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R-69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R-69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R69:R76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R-60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R-60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R60:R67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0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R-51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R-51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R51:R58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R-42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R-42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R42:R49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R-33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R-33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R33:R40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R-24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R-24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R24:R31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R-15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R15:R22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C-33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C-33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C33:C40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C-24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C-24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C24:C31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C-15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C-15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C15:C22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C-6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C6:C13</v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0-1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0-1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20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0-2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0-2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20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0-3</v>
      </c>
      <c r="G5" s="19" t="str">
        <f ca="1"/>
        <v/>
      </c>
      <c r="H5" s="20">
        <f t="shared" ca="1" si="11"/>
        <v>1</v>
      </c>
      <c r="I5" s="20">
        <f t="shared" ca="1" si="1"/>
        <v>8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0-3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20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0-4</v>
      </c>
      <c r="G6" s="19" t="str">
        <f ca="1"/>
        <v/>
      </c>
      <c r="H6" s="20">
        <f t="shared" ca="1" si="11"/>
        <v>1</v>
      </c>
      <c r="I6" s="20">
        <f t="shared" ca="1" si="1"/>
        <v>8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0-4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20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0-5</v>
      </c>
      <c r="G7" s="19" t="str">
        <f ca="1"/>
        <v/>
      </c>
      <c r="H7" s="20">
        <f t="shared" ca="1" si="11"/>
        <v>1</v>
      </c>
      <c r="I7" s="20">
        <f t="shared" ca="1" si="1"/>
        <v>8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0-5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20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0-6</v>
      </c>
      <c r="G8" s="19" t="str">
        <f ca="1"/>
        <v/>
      </c>
      <c r="H8" s="20">
        <f t="shared" ca="1" si="11"/>
        <v>1</v>
      </c>
      <c r="I8" s="20">
        <f t="shared" ca="1" si="1"/>
        <v>8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0-6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20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0-7</v>
      </c>
      <c r="G9" s="19">
        <f ca="1"/>
        <v>8</v>
      </c>
      <c r="H9" s="20">
        <f t="shared" ca="1" si="11"/>
        <v>1</v>
      </c>
      <c r="I9" s="20">
        <f t="shared" ca="1" si="1"/>
        <v>8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0-7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20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0-8</v>
      </c>
      <c r="G10" s="19" t="str">
        <f ca="1"/>
        <v/>
      </c>
      <c r="H10" s="20">
        <f t="shared" ca="1" si="11"/>
        <v>1</v>
      </c>
      <c r="I10" s="20">
        <f t="shared" ca="1" si="1"/>
        <v>8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0-8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20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>
        <f t="shared" ca="1" si="0"/>
        <v>19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0-1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0-1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>
        <f t="shared" ca="1" si="0"/>
        <v>19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0-2</v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0-2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>
        <f t="shared" ca="1" si="0"/>
        <v>19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0-3</v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0-3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>
        <f t="shared" ca="1" si="0"/>
        <v>19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0-4</v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0-4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>
        <f t="shared" ca="1" si="0"/>
        <v>19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0-5</v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0-5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>
        <f t="shared" ca="1" si="0"/>
        <v>19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0-6</v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0-6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>
        <f ca="1"/>
        <v>17</v>
      </c>
      <c r="C18" s="20">
        <f t="shared" ca="1" si="20"/>
        <v>2</v>
      </c>
      <c r="D18" s="20">
        <f t="shared" ca="1" si="0"/>
        <v>19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0-7</v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0-7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>
        <f ca="1"/>
        <v>18</v>
      </c>
      <c r="C19" s="20">
        <f t="shared" ca="1" si="20"/>
        <v>2</v>
      </c>
      <c r="D19" s="20">
        <f t="shared" ca="1" si="0"/>
        <v>19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0-8</v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0-8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>
        <f ca="1"/>
        <v>19</v>
      </c>
      <c r="C20" s="20">
        <f t="shared" ca="1" si="20"/>
        <v>2</v>
      </c>
      <c r="D20" s="20">
        <f t="shared" ca="1" si="0"/>
        <v>19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>
        <f ca="1"/>
        <v>20</v>
      </c>
      <c r="C21" s="20">
        <f t="shared" ca="1" si="20"/>
        <v>3</v>
      </c>
      <c r="D21" s="20">
        <f t="shared" ca="1" si="0"/>
        <v>18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0-1</v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0-1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3</v>
      </c>
      <c r="D22" s="20">
        <f t="shared" ca="1" si="0"/>
        <v>18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0-2</v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0-2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3</v>
      </c>
      <c r="D23" s="20">
        <f t="shared" ca="1" si="0"/>
        <v>18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0-3</v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0-3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3</v>
      </c>
      <c r="D24" s="20">
        <f t="shared" ca="1" si="0"/>
        <v>18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0-4</v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0-4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3</v>
      </c>
      <c r="D25" s="20">
        <f t="shared" ca="1" si="0"/>
        <v>18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0-5</v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0-5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3</v>
      </c>
      <c r="D26" s="20">
        <f t="shared" ca="1" si="0"/>
        <v>18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0-6</v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0-6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3</v>
      </c>
      <c r="D27" s="20">
        <f t="shared" ca="1" si="0"/>
        <v>18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0-7</v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0-7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3</v>
      </c>
      <c r="D28" s="20">
        <f t="shared" ca="1" si="0"/>
        <v>18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0-8</v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0-8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3</v>
      </c>
      <c r="D29" s="20">
        <f t="shared" ca="1" si="0"/>
        <v>18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4</v>
      </c>
      <c r="D30" s="20">
        <f t="shared" ca="1" si="0"/>
        <v>17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0-1</v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0-1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4</v>
      </c>
      <c r="D31" s="20">
        <f t="shared" ca="1" si="0"/>
        <v>17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0-2</v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0-2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4</v>
      </c>
      <c r="D32" s="20">
        <f t="shared" ca="1" si="0"/>
        <v>17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0-3</v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0-3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4</v>
      </c>
      <c r="D33" s="20">
        <f t="shared" ca="1" si="0"/>
        <v>17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0-4</v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0-4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4</v>
      </c>
      <c r="D34" s="20">
        <f t="shared" ca="1" si="0"/>
        <v>17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0-5</v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0-5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17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0-6</v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0-6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4</v>
      </c>
      <c r="D36" s="20">
        <f t="shared" ca="1" si="21"/>
        <v>17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0-7</v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0-7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4</v>
      </c>
      <c r="D37" s="20">
        <f t="shared" ca="1" si="21"/>
        <v>17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0-8</v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0-8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4</v>
      </c>
      <c r="D38" s="20">
        <f t="shared" ca="1" si="21"/>
        <v>17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5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0-1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5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0-2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5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0-3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5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0-4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5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0-5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5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0-6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5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0-7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5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0-8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5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5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0-1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5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0-2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5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0-3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5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0-4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5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0-5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5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0-6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5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0-7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5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0-8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5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5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0-1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5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0-2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5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0-3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5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0-4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5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0-5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5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0-6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5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0-7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5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0-8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5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5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0-1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5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0-2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5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0-3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5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0-4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5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0-5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5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0-6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5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0-7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5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0-8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5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5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0-1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5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0-2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5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0-3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5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0-4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5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0-5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5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0-6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5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0-7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5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0-8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5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5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7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0-1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5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7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0-2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5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7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0-3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5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7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0-4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5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7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0-5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5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7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0-6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5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7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0-7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5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7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0-8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5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7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5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0-1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5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0-2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5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0-3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5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0-4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5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0-5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5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0-6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5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0-7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5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0-8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5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5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5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5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5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5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5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5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5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5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5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5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5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5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5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5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5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5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5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5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5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5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5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5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5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5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5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5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5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5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5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5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5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5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5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5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5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5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5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5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5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5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5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5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5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5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5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5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5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5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5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5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5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5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5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5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5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5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5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5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5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5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5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5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5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5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5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5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5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5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5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5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5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5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5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5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5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5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5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5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5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5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5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5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5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5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5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5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5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5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5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5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5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5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5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5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5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5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G303</cp:lastModifiedBy>
  <cp:revision>0</cp:revision>
  <dcterms:created xsi:type="dcterms:W3CDTF">2022-12-26T11:27:14Z</dcterms:created>
  <dcterms:modified xsi:type="dcterms:W3CDTF">2026-01-14T17:30:33Z</dcterms:modified>
  <cp:category/>
  <cp:contentStatus/>
</cp:coreProperties>
</file>